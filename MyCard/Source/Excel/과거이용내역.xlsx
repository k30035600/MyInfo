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251688e3d9c1650/Cursor_AI_Project/새 폴더/Excel/"/>
    </mc:Choice>
  </mc:AlternateContent>
  <xr:revisionPtr revIDLastSave="693" documentId="8_{1E231CA0-D84C-4808-9718-D2010BD21D1F}" xr6:coauthVersionLast="47" xr6:coauthVersionMax="47" xr10:uidLastSave="{BA106675-834D-4433-9CF5-D216FF01F4B4}"/>
  <bookViews>
    <workbookView xWindow="38280" yWindow="-120" windowWidth="38640" windowHeight="21120" xr2:uid="{E2EF1ED2-FF56-460F-978B-C0F2DB24FEDB}"/>
  </bookViews>
  <sheets>
    <sheet name="DB_Schema" sheetId="11" r:id="rId1"/>
    <sheet name="카드헤더" sheetId="7" r:id="rId2"/>
    <sheet name="국민카드" sheetId="3" r:id="rId3"/>
    <sheet name="신한카드" sheetId="4" r:id="rId4"/>
    <sheet name="현대카드" sheetId="6" r:id="rId5"/>
    <sheet name="하나카드" sheetId="5" r:id="rId6"/>
  </sheets>
  <definedNames>
    <definedName name="_xlnm._FilterDatabase" localSheetId="2" hidden="1">국민카드!$Q$1:$Q$182</definedName>
    <definedName name="_xlnm._FilterDatabase" localSheetId="3" hidden="1">신한카드!$X$1:$X$715</definedName>
    <definedName name="_xlnm._FilterDatabase" localSheetId="5" hidden="1">하나카드!$I$1:$I$230</definedName>
    <definedName name="_xlnm._FilterDatabase" localSheetId="4" hidden="1">현대카드!$D$2:$D$401</definedName>
    <definedName name="_xlnm.Print_Area" localSheetId="2">국민카드!$A$1:$V$182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5" l="1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L36" i="5" s="1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L55" i="5" s="1"/>
  <c r="K56" i="5"/>
  <c r="K57" i="5"/>
  <c r="K58" i="5"/>
  <c r="K59" i="5"/>
  <c r="K60" i="5"/>
  <c r="K61" i="5"/>
  <c r="K62" i="5"/>
  <c r="K63" i="5"/>
  <c r="K64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L93" i="5" s="1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L116" i="5" s="1"/>
  <c r="K117" i="5"/>
  <c r="K118" i="5"/>
  <c r="L118" i="5" s="1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39" i="5"/>
  <c r="K140" i="5"/>
  <c r="K141" i="5"/>
  <c r="K142" i="5"/>
  <c r="K143" i="5"/>
  <c r="K144" i="5"/>
  <c r="K145" i="5"/>
  <c r="K146" i="5"/>
  <c r="K147" i="5"/>
  <c r="K148" i="5"/>
  <c r="K149" i="5"/>
  <c r="K150" i="5"/>
  <c r="K151" i="5"/>
  <c r="K152" i="5"/>
  <c r="K153" i="5"/>
  <c r="K154" i="5"/>
  <c r="K155" i="5"/>
  <c r="K156" i="5"/>
  <c r="K157" i="5"/>
  <c r="K158" i="5"/>
  <c r="K159" i="5"/>
  <c r="K160" i="5"/>
  <c r="K161" i="5"/>
  <c r="K162" i="5"/>
  <c r="K163" i="5"/>
  <c r="K164" i="5"/>
  <c r="K165" i="5"/>
  <c r="K166" i="5"/>
  <c r="K167" i="5"/>
  <c r="K168" i="5"/>
  <c r="K169" i="5"/>
  <c r="K170" i="5"/>
  <c r="K171" i="5"/>
  <c r="K172" i="5"/>
  <c r="K173" i="5"/>
  <c r="K174" i="5"/>
  <c r="K175" i="5"/>
  <c r="K176" i="5"/>
  <c r="K177" i="5"/>
  <c r="K178" i="5"/>
  <c r="K179" i="5"/>
  <c r="K180" i="5"/>
  <c r="K181" i="5"/>
  <c r="K182" i="5"/>
  <c r="K183" i="5"/>
  <c r="K184" i="5"/>
  <c r="K185" i="5"/>
  <c r="K186" i="5"/>
  <c r="K187" i="5"/>
  <c r="K188" i="5"/>
  <c r="K189" i="5"/>
  <c r="K190" i="5"/>
  <c r="K191" i="5"/>
  <c r="K192" i="5"/>
  <c r="K193" i="5"/>
  <c r="K194" i="5"/>
  <c r="K195" i="5"/>
  <c r="K196" i="5"/>
  <c r="K197" i="5"/>
  <c r="K198" i="5"/>
  <c r="K199" i="5"/>
  <c r="K200" i="5"/>
  <c r="K201" i="5"/>
  <c r="K202" i="5"/>
  <c r="K203" i="5"/>
  <c r="K204" i="5"/>
  <c r="K205" i="5"/>
  <c r="K206" i="5"/>
  <c r="K207" i="5"/>
  <c r="K208" i="5"/>
  <c r="K209" i="5"/>
  <c r="K210" i="5"/>
  <c r="K211" i="5"/>
  <c r="K212" i="5"/>
  <c r="K213" i="5"/>
  <c r="K214" i="5"/>
  <c r="K215" i="5"/>
  <c r="K216" i="5"/>
  <c r="K217" i="5"/>
  <c r="K218" i="5"/>
  <c r="K219" i="5"/>
  <c r="K220" i="5"/>
  <c r="K221" i="5"/>
  <c r="K222" i="5"/>
  <c r="K223" i="5"/>
  <c r="K224" i="5"/>
  <c r="K225" i="5"/>
  <c r="K226" i="5"/>
  <c r="K227" i="5"/>
  <c r="K228" i="5"/>
  <c r="K2" i="5"/>
  <c r="H230" i="5"/>
  <c r="L230" i="5" l="1"/>
  <c r="K230" i="5"/>
  <c r="M230" i="5" s="1"/>
</calcChain>
</file>

<file path=xl/sharedStrings.xml><?xml version="1.0" encoding="utf-8"?>
<sst xmlns="http://schemas.openxmlformats.org/spreadsheetml/2006/main" count="10663" uniqueCount="2259">
  <si>
    <t>카드번호</t>
    <phoneticPr fontId="3" type="noConversion"/>
  </si>
  <si>
    <t>청구일</t>
    <phoneticPr fontId="3" type="noConversion"/>
  </si>
  <si>
    <t>할부기간</t>
    <phoneticPr fontId="3" type="noConversion"/>
  </si>
  <si>
    <t>청구회차</t>
    <phoneticPr fontId="3" type="noConversion"/>
  </si>
  <si>
    <t>승인번호</t>
    <phoneticPr fontId="3" type="noConversion"/>
  </si>
  <si>
    <t>가맹점명</t>
    <phoneticPr fontId="3" type="noConversion"/>
  </si>
  <si>
    <t>이용기간</t>
    <phoneticPr fontId="3" type="noConversion"/>
  </si>
  <si>
    <t>총 이용금액</t>
    <phoneticPr fontId="3" type="noConversion"/>
  </si>
  <si>
    <t>가맹점
사업자번호</t>
    <phoneticPr fontId="3" type="noConversion"/>
  </si>
  <si>
    <t>☞ 금액앞에 "-"표시는 취소 금액 입니다.</t>
    <phoneticPr fontId="3" type="noConversion"/>
  </si>
  <si>
    <t>본인</t>
    <phoneticPr fontId="3" type="noConversion"/>
  </si>
  <si>
    <t>본인확인용</t>
    <phoneticPr fontId="3" type="noConversion"/>
  </si>
  <si>
    <t>할인금액</t>
    <phoneticPr fontId="3" type="noConversion"/>
  </si>
  <si>
    <t>순번</t>
    <phoneticPr fontId="3" type="noConversion"/>
  </si>
  <si>
    <t>~</t>
  </si>
  <si>
    <t xml:space="preserve">▣발행일 : </t>
    <phoneticPr fontId="3" type="noConversion"/>
  </si>
  <si>
    <t>▣신청인 :</t>
    <phoneticPr fontId="3" type="noConversion"/>
  </si>
  <si>
    <t>▣사용용도:</t>
    <phoneticPr fontId="3" type="noConversion"/>
  </si>
  <si>
    <t>서울 종로구 새문안로 3길 30 (내수동 KB국민카드빌딩)
1588-1688</t>
    <phoneticPr fontId="3" type="noConversion"/>
  </si>
  <si>
    <t>회 원 명</t>
    <phoneticPr fontId="3" type="noConversion"/>
  </si>
  <si>
    <r>
      <t xml:space="preserve">   KB 국 민 카 드 </t>
    </r>
    <r>
      <rPr>
        <b/>
        <sz val="14"/>
        <color indexed="8"/>
        <rFont val="굴림"/>
        <family val="3"/>
        <charset val="129"/>
      </rPr>
      <t>(직인생략)</t>
    </r>
    <phoneticPr fontId="3" type="noConversion"/>
  </si>
  <si>
    <t>☞ 발행일 현재 가맹점에서 매출내역을 제출하지 않은 이용실적은 제외되어 있습니다.</t>
    <phoneticPr fontId="3" type="noConversion"/>
  </si>
  <si>
    <t>☞ 해외이용대금은 국제카드사가 정한 환율에 의해 미달러화로 환산 후, 카드사가 지정한 날의 환율을 적용합니다.</t>
    <phoneticPr fontId="3" type="noConversion"/>
  </si>
  <si>
    <t>KB국민카드 과거이용내역</t>
    <phoneticPr fontId="3" type="noConversion"/>
  </si>
  <si>
    <t>원</t>
    <phoneticPr fontId="3" type="noConversion"/>
  </si>
  <si>
    <t>매출일</t>
    <phoneticPr fontId="3" type="noConversion"/>
  </si>
  <si>
    <t>취소여부</t>
    <phoneticPr fontId="3" type="noConversion"/>
  </si>
  <si>
    <t>승인시간</t>
    <phoneticPr fontId="3" type="noConversion"/>
  </si>
  <si>
    <t>매출금액</t>
    <phoneticPr fontId="3" type="noConversion"/>
  </si>
  <si>
    <t>김*식</t>
  </si>
  <si>
    <t>2025-12-24 (매출일 기준)</t>
  </si>
  <si>
    <t>1</t>
  </si>
  <si>
    <t>5439-81**-****-9168</t>
  </si>
  <si>
    <t>07:39:43</t>
  </si>
  <si>
    <t>정상</t>
  </si>
  <si>
    <t>0</t>
  </si>
  <si>
    <t>30003661</t>
  </si>
  <si>
    <t>LGUPLUS 통신요금자동이체</t>
  </si>
  <si>
    <t>220-81-39938</t>
  </si>
  <si>
    <t/>
  </si>
  <si>
    <t>2</t>
  </si>
  <si>
    <t>07:33:23</t>
  </si>
  <si>
    <t>30003650</t>
  </si>
  <si>
    <t>3</t>
  </si>
  <si>
    <t>07:36:00</t>
  </si>
  <si>
    <t>30003649</t>
  </si>
  <si>
    <t>4</t>
  </si>
  <si>
    <t>07:39:24</t>
  </si>
  <si>
    <t>30003638</t>
  </si>
  <si>
    <t>5</t>
  </si>
  <si>
    <t>07:37:33</t>
  </si>
  <si>
    <t>30003627</t>
  </si>
  <si>
    <t>6</t>
  </si>
  <si>
    <t>20:10:43</t>
  </si>
  <si>
    <t>30003614</t>
  </si>
  <si>
    <t>롯데마트연수점</t>
  </si>
  <si>
    <t>131-85-17286</t>
  </si>
  <si>
    <t>7</t>
  </si>
  <si>
    <t>13:14:17</t>
  </si>
  <si>
    <t>30003609</t>
  </si>
  <si>
    <t>(주)웰빙홈마트 연수점</t>
  </si>
  <si>
    <t>492-85-02349</t>
  </si>
  <si>
    <t>8</t>
  </si>
  <si>
    <t>13:11:24</t>
  </si>
  <si>
    <t>30003590</t>
  </si>
  <si>
    <t>송도즉석반찬</t>
  </si>
  <si>
    <t>783-09-02538</t>
  </si>
  <si>
    <t>9</t>
  </si>
  <si>
    <t>13:38:01</t>
  </si>
  <si>
    <t>30003582</t>
  </si>
  <si>
    <t>(주)비와이씨  연수사무소</t>
  </si>
  <si>
    <t>131-85-20122</t>
  </si>
  <si>
    <t>10</t>
  </si>
  <si>
    <t>13:23:11</t>
  </si>
  <si>
    <t>30003570</t>
  </si>
  <si>
    <t>천상운집</t>
  </si>
  <si>
    <t>353-36-01218</t>
  </si>
  <si>
    <t>11</t>
  </si>
  <si>
    <t>12:30:25</t>
  </si>
  <si>
    <t>30003563</t>
  </si>
  <si>
    <t>이선아정신의학과의원</t>
  </si>
  <si>
    <t>111-91-00176</t>
  </si>
  <si>
    <t>12</t>
  </si>
  <si>
    <t>10:02:03</t>
  </si>
  <si>
    <t>30003558</t>
  </si>
  <si>
    <t>클락에이(Clock A)</t>
  </si>
  <si>
    <t>752-33-00244</t>
  </si>
  <si>
    <t>13</t>
  </si>
  <si>
    <t>11:10:22</t>
  </si>
  <si>
    <t>30003547</t>
  </si>
  <si>
    <t>약선당부부한의원</t>
  </si>
  <si>
    <t>131-92-20945</t>
  </si>
  <si>
    <t>14</t>
  </si>
  <si>
    <t>12:26:09</t>
  </si>
  <si>
    <t>30003535</t>
  </si>
  <si>
    <t>씨유(CU) 동춘삼환점</t>
  </si>
  <si>
    <t>674-35-01326</t>
  </si>
  <si>
    <t>15</t>
  </si>
  <si>
    <t>12:22:40</t>
  </si>
  <si>
    <t>30003521</t>
  </si>
  <si>
    <t>만강홍</t>
  </si>
  <si>
    <t>647-25-00137</t>
  </si>
  <si>
    <t>16</t>
  </si>
  <si>
    <t>12:19:29</t>
  </si>
  <si>
    <t>30003513</t>
  </si>
  <si>
    <t>17</t>
  </si>
  <si>
    <t>12:40:51</t>
  </si>
  <si>
    <t>30003508</t>
  </si>
  <si>
    <t>18</t>
  </si>
  <si>
    <t>17:16:44</t>
  </si>
  <si>
    <t>30003496</t>
  </si>
  <si>
    <t>19</t>
  </si>
  <si>
    <t>21:06:58</t>
  </si>
  <si>
    <t>30003489</t>
  </si>
  <si>
    <t>(주)이마트 연수점</t>
  </si>
  <si>
    <t>206-86-50913</t>
  </si>
  <si>
    <t>20</t>
  </si>
  <si>
    <t>09:56:55</t>
  </si>
  <si>
    <t>30003473</t>
  </si>
  <si>
    <t>메가엠지씨커피송도씨워크점</t>
  </si>
  <si>
    <t>538-54-00624</t>
  </si>
  <si>
    <t>21</t>
  </si>
  <si>
    <t>20:16:07</t>
  </si>
  <si>
    <t>30003463</t>
  </si>
  <si>
    <t>슈퍼맨할인마트 연수점</t>
  </si>
  <si>
    <t>846-25-01752</t>
  </si>
  <si>
    <t>22</t>
  </si>
  <si>
    <t>12:51:46</t>
  </si>
  <si>
    <t>30003453</t>
  </si>
  <si>
    <t>간석온누리약국</t>
  </si>
  <si>
    <t>122-04-12065</t>
  </si>
  <si>
    <t>23</t>
  </si>
  <si>
    <t>17:37:30</t>
  </si>
  <si>
    <t>30003449</t>
  </si>
  <si>
    <t>쿠팡-쿠팡</t>
  </si>
  <si>
    <t>113-85-21083</t>
  </si>
  <si>
    <t>24</t>
  </si>
  <si>
    <t>14:56:42</t>
  </si>
  <si>
    <t>30003435</t>
  </si>
  <si>
    <t>25</t>
  </si>
  <si>
    <t>13:10:02</t>
  </si>
  <si>
    <t>30003420</t>
  </si>
  <si>
    <t>스타벅스코리아</t>
  </si>
  <si>
    <t>201-81-21515</t>
  </si>
  <si>
    <t>26</t>
  </si>
  <si>
    <t>18:20:28</t>
  </si>
  <si>
    <t>30003416</t>
  </si>
  <si>
    <t>네이버파이낸셜(주)</t>
  </si>
  <si>
    <t>524-86-01528</t>
  </si>
  <si>
    <t>27</t>
  </si>
  <si>
    <t>18:02:36</t>
  </si>
  <si>
    <t>30003401</t>
  </si>
  <si>
    <t>오구본가동춘점</t>
  </si>
  <si>
    <t>131-35-46530</t>
  </si>
  <si>
    <t>28</t>
  </si>
  <si>
    <t>16:55:24</t>
  </si>
  <si>
    <t>30003395</t>
  </si>
  <si>
    <t>29</t>
  </si>
  <si>
    <t>07:36:06</t>
  </si>
  <si>
    <t>30003380</t>
  </si>
  <si>
    <t>30</t>
  </si>
  <si>
    <t>9436-46**-****-3077</t>
  </si>
  <si>
    <t>21:58:07</t>
  </si>
  <si>
    <t>30003358</t>
  </si>
  <si>
    <t>31</t>
  </si>
  <si>
    <t>20:54:53</t>
  </si>
  <si>
    <t>30003345</t>
  </si>
  <si>
    <t>아빠연탄갈비</t>
  </si>
  <si>
    <t>515-13-68986</t>
  </si>
  <si>
    <t>32</t>
  </si>
  <si>
    <t>17:16:28</t>
  </si>
  <si>
    <t>30003338</t>
  </si>
  <si>
    <t>로카모빌리티택시_0</t>
  </si>
  <si>
    <t>129-86-38970</t>
  </si>
  <si>
    <t>33</t>
  </si>
  <si>
    <t>10:18:15</t>
  </si>
  <si>
    <t>30003325</t>
  </si>
  <si>
    <t>티머니 개인택시_0</t>
  </si>
  <si>
    <t>104-81-83559</t>
  </si>
  <si>
    <t>34</t>
  </si>
  <si>
    <t>05:42:41</t>
  </si>
  <si>
    <t>30003316</t>
  </si>
  <si>
    <t>35</t>
  </si>
  <si>
    <t>17:08:10</t>
  </si>
  <si>
    <t>30003303</t>
  </si>
  <si>
    <t>36</t>
  </si>
  <si>
    <t>09:53:25</t>
  </si>
  <si>
    <t>30003290</t>
  </si>
  <si>
    <t>지에스(GS)25 연수대동</t>
  </si>
  <si>
    <t>726-07-02337</t>
  </si>
  <si>
    <t>37</t>
  </si>
  <si>
    <t>00000000</t>
  </si>
  <si>
    <t>2210SMS</t>
  </si>
  <si>
    <t>201-81-68693</t>
  </si>
  <si>
    <t>38</t>
  </si>
  <si>
    <t>2209SMS</t>
  </si>
  <si>
    <t>39</t>
  </si>
  <si>
    <t>13:48:13</t>
  </si>
  <si>
    <t>30003289</t>
  </si>
  <si>
    <t>홈플러스 인천연수점(일반)</t>
  </si>
  <si>
    <t>220-81-60348</t>
  </si>
  <si>
    <t>40</t>
  </si>
  <si>
    <t>12:30:23</t>
  </si>
  <si>
    <t>30003270</t>
  </si>
  <si>
    <t>LAUGHING CHILD 스퀘어원점</t>
  </si>
  <si>
    <t>114-81-52674</t>
  </si>
  <si>
    <t>41</t>
  </si>
  <si>
    <t>12:02:00</t>
  </si>
  <si>
    <t>30003265</t>
  </si>
  <si>
    <t>참사랑약국</t>
  </si>
  <si>
    <t>139-08-24965</t>
  </si>
  <si>
    <t>42</t>
  </si>
  <si>
    <t>18:17:48</t>
  </si>
  <si>
    <t>30003256</t>
  </si>
  <si>
    <t>정육점</t>
  </si>
  <si>
    <t>854-97-00561</t>
  </si>
  <si>
    <t>43</t>
  </si>
  <si>
    <t>14:55:16</t>
  </si>
  <si>
    <t>30003249</t>
  </si>
  <si>
    <t>NICE결제대행_ARS_4-스마트종합관리주식회사</t>
  </si>
  <si>
    <t>815-81-00527</t>
  </si>
  <si>
    <t>44</t>
  </si>
  <si>
    <t>14:20:02</t>
  </si>
  <si>
    <t>30003230</t>
  </si>
  <si>
    <t>45</t>
  </si>
  <si>
    <t>11:45:37</t>
  </si>
  <si>
    <t>30003221</t>
  </si>
  <si>
    <t>46</t>
  </si>
  <si>
    <t>12:23:54</t>
  </si>
  <si>
    <t>30003213</t>
  </si>
  <si>
    <t>47</t>
  </si>
  <si>
    <t>19:23:43</t>
  </si>
  <si>
    <t>30003206</t>
  </si>
  <si>
    <t>KCP(통신판매)-파킹클라우드(주)</t>
  </si>
  <si>
    <t>48</t>
  </si>
  <si>
    <t>18:28:38</t>
  </si>
  <si>
    <t>30003190</t>
  </si>
  <si>
    <t>49</t>
  </si>
  <si>
    <t>18:19:52</t>
  </si>
  <si>
    <t>30003189</t>
  </si>
  <si>
    <t>(주)세계로유통(연수점)</t>
  </si>
  <si>
    <t>131-85-53360</t>
  </si>
  <si>
    <t>50</t>
  </si>
  <si>
    <t>18:18:30</t>
  </si>
  <si>
    <t>30003178</t>
  </si>
  <si>
    <t>51</t>
  </si>
  <si>
    <t>20:53:04</t>
  </si>
  <si>
    <t>30003163</t>
  </si>
  <si>
    <t>파리바게뜨</t>
  </si>
  <si>
    <t>131-20-45139</t>
  </si>
  <si>
    <t>52</t>
  </si>
  <si>
    <t>2208SMS</t>
  </si>
  <si>
    <t>53</t>
  </si>
  <si>
    <t>13:55:39</t>
  </si>
  <si>
    <t>30003153</t>
  </si>
  <si>
    <t>54</t>
  </si>
  <si>
    <t>14:03:48</t>
  </si>
  <si>
    <t>30003146</t>
  </si>
  <si>
    <t>55</t>
  </si>
  <si>
    <t>10:45:48</t>
  </si>
  <si>
    <t>30003134</t>
  </si>
  <si>
    <t>56</t>
  </si>
  <si>
    <t>11:01:29</t>
  </si>
  <si>
    <t>30003123</t>
  </si>
  <si>
    <t>57</t>
  </si>
  <si>
    <t>13:30:02</t>
  </si>
  <si>
    <t>30003113</t>
  </si>
  <si>
    <t>JDC면세점-공항</t>
  </si>
  <si>
    <t>616-82-15473</t>
  </si>
  <si>
    <t>58</t>
  </si>
  <si>
    <t>13:20:02</t>
  </si>
  <si>
    <t>30003102</t>
  </si>
  <si>
    <t>59</t>
  </si>
  <si>
    <t>17:10:58</t>
  </si>
  <si>
    <t>30003094</t>
  </si>
  <si>
    <t>애월농업협동조합하나로마트</t>
  </si>
  <si>
    <t>616-82-25573</t>
  </si>
  <si>
    <t>60</t>
  </si>
  <si>
    <t>12:56:45</t>
  </si>
  <si>
    <t>30003088</t>
  </si>
  <si>
    <t>제주도민상회본점</t>
  </si>
  <si>
    <t>205-14-52828</t>
  </si>
  <si>
    <t>61</t>
  </si>
  <si>
    <t>15:23:25</t>
  </si>
  <si>
    <t>30003070</t>
  </si>
  <si>
    <t>애월은혜전복</t>
  </si>
  <si>
    <t>246-01-00578</t>
  </si>
  <si>
    <t>62</t>
  </si>
  <si>
    <t>08:51:10</t>
  </si>
  <si>
    <t>30003067</t>
  </si>
  <si>
    <t>지에스(GS)25 제주유수암점</t>
  </si>
  <si>
    <t>616-27-39307</t>
  </si>
  <si>
    <t>63</t>
  </si>
  <si>
    <t>18:14:17</t>
  </si>
  <si>
    <t>30003051</t>
  </si>
  <si>
    <t>바이제주</t>
  </si>
  <si>
    <t>869-85-00731</t>
  </si>
  <si>
    <t>64</t>
  </si>
  <si>
    <t>15:20:03</t>
  </si>
  <si>
    <t>30003041</t>
  </si>
  <si>
    <t>65</t>
  </si>
  <si>
    <t>12:08:20</t>
  </si>
  <si>
    <t>30003030</t>
  </si>
  <si>
    <t>주식회사 우진해장국</t>
  </si>
  <si>
    <t>827-81-00461</t>
  </si>
  <si>
    <t>66</t>
  </si>
  <si>
    <t>07:37:30</t>
  </si>
  <si>
    <t>30003029</t>
  </si>
  <si>
    <t>엔제리너스 김포공항1층</t>
  </si>
  <si>
    <t>106-81-23498</t>
  </si>
  <si>
    <t>67</t>
  </si>
  <si>
    <t>16:58:14</t>
  </si>
  <si>
    <t>30003000</t>
  </si>
  <si>
    <t>68</t>
  </si>
  <si>
    <t>18:52:20</t>
  </si>
  <si>
    <t>30002996</t>
  </si>
  <si>
    <t>69</t>
  </si>
  <si>
    <t>18:28:07</t>
  </si>
  <si>
    <t>30002986</t>
  </si>
  <si>
    <t>70</t>
  </si>
  <si>
    <t>17:41:52</t>
  </si>
  <si>
    <t>30002975</t>
  </si>
  <si>
    <t>명가왕족발.대박떡볶이</t>
  </si>
  <si>
    <t>671-04-00590</t>
  </si>
  <si>
    <t>71</t>
  </si>
  <si>
    <t>17:37:34</t>
  </si>
  <si>
    <t>30002964</t>
  </si>
  <si>
    <t>72</t>
  </si>
  <si>
    <t>19:21:20</t>
  </si>
  <si>
    <t>30002950</t>
  </si>
  <si>
    <t>73</t>
  </si>
  <si>
    <t>18:07:53</t>
  </si>
  <si>
    <t>30002946</t>
  </si>
  <si>
    <t>주식회사에이치앤에이치스포츠</t>
  </si>
  <si>
    <t>131-86-61950</t>
  </si>
  <si>
    <t>74</t>
  </si>
  <si>
    <t>15:27:06</t>
  </si>
  <si>
    <t>30002931</t>
  </si>
  <si>
    <t>75</t>
  </si>
  <si>
    <t>15:33:00</t>
  </si>
  <si>
    <t>30002929</t>
  </si>
  <si>
    <t>76</t>
  </si>
  <si>
    <t>2207SMS</t>
  </si>
  <si>
    <t>77</t>
  </si>
  <si>
    <t>22:05:24</t>
  </si>
  <si>
    <t>30002919</t>
  </si>
  <si>
    <t>78</t>
  </si>
  <si>
    <t>22:02:21</t>
  </si>
  <si>
    <t>30002908</t>
  </si>
  <si>
    <t>79</t>
  </si>
  <si>
    <t>21:18:07</t>
  </si>
  <si>
    <t>30002896</t>
  </si>
  <si>
    <t>에스에이치에너지(주)선학현대</t>
  </si>
  <si>
    <t>763-85-02260</t>
  </si>
  <si>
    <t>80</t>
  </si>
  <si>
    <t>16:11:00</t>
  </si>
  <si>
    <t>30002884</t>
  </si>
  <si>
    <t>81</t>
  </si>
  <si>
    <t>10:20:03</t>
  </si>
  <si>
    <t>30002874</t>
  </si>
  <si>
    <t>타이거</t>
  </si>
  <si>
    <t>568-52-00640</t>
  </si>
  <si>
    <t>82</t>
  </si>
  <si>
    <t>10:17:59</t>
  </si>
  <si>
    <t>30002863</t>
  </si>
  <si>
    <t>83</t>
  </si>
  <si>
    <t>09:44:12</t>
  </si>
  <si>
    <t>30002857</t>
  </si>
  <si>
    <t>84</t>
  </si>
  <si>
    <t>09:43:41</t>
  </si>
  <si>
    <t>30002846</t>
  </si>
  <si>
    <t>85</t>
  </si>
  <si>
    <t>14:47:55</t>
  </si>
  <si>
    <t>30002839</t>
  </si>
  <si>
    <t>86</t>
  </si>
  <si>
    <t>22:23:14</t>
  </si>
  <si>
    <t>30002829</t>
  </si>
  <si>
    <t>87</t>
  </si>
  <si>
    <t>22:22:03</t>
  </si>
  <si>
    <t>30002818</t>
  </si>
  <si>
    <t>88</t>
  </si>
  <si>
    <t>17:10:33</t>
  </si>
  <si>
    <t>30002806</t>
  </si>
  <si>
    <t>89</t>
  </si>
  <si>
    <t>16:49:32</t>
  </si>
  <si>
    <t>30002794</t>
  </si>
  <si>
    <t>90</t>
  </si>
  <si>
    <t>11:26:14</t>
  </si>
  <si>
    <t>30002784</t>
  </si>
  <si>
    <t>91</t>
  </si>
  <si>
    <t>11:07:41</t>
  </si>
  <si>
    <t>30002773</t>
  </si>
  <si>
    <t>92</t>
  </si>
  <si>
    <t>19:06:48</t>
  </si>
  <si>
    <t>30002769</t>
  </si>
  <si>
    <t>연쭈</t>
  </si>
  <si>
    <t>875-07-00868</t>
  </si>
  <si>
    <t>93</t>
  </si>
  <si>
    <t>16:24:51</t>
  </si>
  <si>
    <t>30002755</t>
  </si>
  <si>
    <t>맛있는죽</t>
  </si>
  <si>
    <t>292-11-02068</t>
  </si>
  <si>
    <t>94</t>
  </si>
  <si>
    <t>16:23:52</t>
  </si>
  <si>
    <t>30002744</t>
  </si>
  <si>
    <t>95</t>
  </si>
  <si>
    <t>10:21:33</t>
  </si>
  <si>
    <t>30002738</t>
  </si>
  <si>
    <t>맥도날드GS연수점</t>
  </si>
  <si>
    <t>131-86-35466</t>
  </si>
  <si>
    <t>96</t>
  </si>
  <si>
    <t>11:48:40</t>
  </si>
  <si>
    <t>30002728</t>
  </si>
  <si>
    <t>97</t>
  </si>
  <si>
    <t>2206SMS</t>
  </si>
  <si>
    <t>98</t>
  </si>
  <si>
    <t>14:57:05</t>
  </si>
  <si>
    <t>30002710</t>
  </si>
  <si>
    <t>삼성전자판매(주)연수송도점</t>
  </si>
  <si>
    <t>617-81-17517</t>
  </si>
  <si>
    <t>99</t>
  </si>
  <si>
    <t>30002706</t>
  </si>
  <si>
    <t>100</t>
  </si>
  <si>
    <t>22:03:56</t>
  </si>
  <si>
    <t>30002694</t>
  </si>
  <si>
    <t>101</t>
  </si>
  <si>
    <t>21:09:14</t>
  </si>
  <si>
    <t>30002683</t>
  </si>
  <si>
    <t>102</t>
  </si>
  <si>
    <t>15:39:48</t>
  </si>
  <si>
    <t>30002661</t>
  </si>
  <si>
    <t>103</t>
  </si>
  <si>
    <t>14:15:54</t>
  </si>
  <si>
    <t>30002655</t>
  </si>
  <si>
    <t>104</t>
  </si>
  <si>
    <t>20:17:53</t>
  </si>
  <si>
    <t>30002649</t>
  </si>
  <si>
    <t>105</t>
  </si>
  <si>
    <t>13:09:12</t>
  </si>
  <si>
    <t>30002635</t>
  </si>
  <si>
    <t>106</t>
  </si>
  <si>
    <t>15:52:10</t>
  </si>
  <si>
    <t>30002627</t>
  </si>
  <si>
    <t>현대아울렛 송도점-아디다스팩토리</t>
  </si>
  <si>
    <t>304-85-10936</t>
  </si>
  <si>
    <t>107</t>
  </si>
  <si>
    <t>14:16:28</t>
  </si>
  <si>
    <t>30002613</t>
  </si>
  <si>
    <t>108</t>
  </si>
  <si>
    <t>16:07:24</t>
  </si>
  <si>
    <t>30002605</t>
  </si>
  <si>
    <t>109</t>
  </si>
  <si>
    <t>15:36:22</t>
  </si>
  <si>
    <t>30002593</t>
  </si>
  <si>
    <t>현대아울렛 송도점-H마켓</t>
  </si>
  <si>
    <t>110</t>
  </si>
  <si>
    <t>13:28:21</t>
  </si>
  <si>
    <t>30002582</t>
  </si>
  <si>
    <t>현대아울렛 송도점-폴로종합관</t>
  </si>
  <si>
    <t>111</t>
  </si>
  <si>
    <t>12:21:49</t>
  </si>
  <si>
    <t>30002571</t>
  </si>
  <si>
    <t>112</t>
  </si>
  <si>
    <t>12:21:16</t>
  </si>
  <si>
    <t>30002560</t>
  </si>
  <si>
    <t>113</t>
  </si>
  <si>
    <t>16:49:04</t>
  </si>
  <si>
    <t>30002558</t>
  </si>
  <si>
    <t>114</t>
  </si>
  <si>
    <t>15:57:09</t>
  </si>
  <si>
    <t>30002547</t>
  </si>
  <si>
    <t>115</t>
  </si>
  <si>
    <t>18:21:43</t>
  </si>
  <si>
    <t>30002537</t>
  </si>
  <si>
    <t>116</t>
  </si>
  <si>
    <t>11:51:05</t>
  </si>
  <si>
    <t>30002522</t>
  </si>
  <si>
    <t>새록쏘잉</t>
  </si>
  <si>
    <t>847-15-00330</t>
  </si>
  <si>
    <t>117</t>
  </si>
  <si>
    <t>18:11:57</t>
  </si>
  <si>
    <t>30002515</t>
  </si>
  <si>
    <t>118</t>
  </si>
  <si>
    <t>18:04:56</t>
  </si>
  <si>
    <t>30002504</t>
  </si>
  <si>
    <t>119</t>
  </si>
  <si>
    <t>취소</t>
  </si>
  <si>
    <t>43084539</t>
  </si>
  <si>
    <t>120</t>
  </si>
  <si>
    <t>2205SMS</t>
  </si>
  <si>
    <t>121</t>
  </si>
  <si>
    <t>18:26:29</t>
  </si>
  <si>
    <t>30002492</t>
  </si>
  <si>
    <t>122</t>
  </si>
  <si>
    <t>15:00:10</t>
  </si>
  <si>
    <t>30002480</t>
  </si>
  <si>
    <t>123</t>
  </si>
  <si>
    <t>14:26:00</t>
  </si>
  <si>
    <t>30002477</t>
  </si>
  <si>
    <t>(주)나무다움</t>
  </si>
  <si>
    <t>204-86-18498</t>
  </si>
  <si>
    <t>124</t>
  </si>
  <si>
    <t>16:10:15</t>
  </si>
  <si>
    <t>30002468</t>
  </si>
  <si>
    <t>125</t>
  </si>
  <si>
    <t>15:50:57</t>
  </si>
  <si>
    <t>30002455</t>
  </si>
  <si>
    <t>126</t>
  </si>
  <si>
    <t>16:07:18</t>
  </si>
  <si>
    <t>30002447</t>
  </si>
  <si>
    <t>127</t>
  </si>
  <si>
    <t>16:04:09</t>
  </si>
  <si>
    <t>30002436</t>
  </si>
  <si>
    <t>128</t>
  </si>
  <si>
    <t>14:46:48</t>
  </si>
  <si>
    <t>30002425</t>
  </si>
  <si>
    <t>129</t>
  </si>
  <si>
    <t>14:40:47</t>
  </si>
  <si>
    <t>30002414</t>
  </si>
  <si>
    <t>130</t>
  </si>
  <si>
    <t>2204SMS</t>
  </si>
  <si>
    <t>131</t>
  </si>
  <si>
    <t>18:16:26</t>
  </si>
  <si>
    <t>30002391</t>
  </si>
  <si>
    <t>132</t>
  </si>
  <si>
    <t>18:29:58</t>
  </si>
  <si>
    <t>30002380</t>
  </si>
  <si>
    <t>133</t>
  </si>
  <si>
    <t>18:31:27</t>
  </si>
  <si>
    <t>30002379</t>
  </si>
  <si>
    <t>134</t>
  </si>
  <si>
    <t>2203SMS</t>
  </si>
  <si>
    <t>135</t>
  </si>
  <si>
    <t>15:47:48</t>
  </si>
  <si>
    <t>30002367</t>
  </si>
  <si>
    <t>136</t>
  </si>
  <si>
    <t>15:35:37</t>
  </si>
  <si>
    <t>30002356</t>
  </si>
  <si>
    <t>137</t>
  </si>
  <si>
    <t>17:13:40</t>
  </si>
  <si>
    <t>30002346</t>
  </si>
  <si>
    <t>138</t>
  </si>
  <si>
    <t>13:04:52</t>
  </si>
  <si>
    <t>30002335</t>
  </si>
  <si>
    <t>현대아울렛 송도점-삼송 송도</t>
  </si>
  <si>
    <t>139</t>
  </si>
  <si>
    <t>12:30:44</t>
  </si>
  <si>
    <t>30002323</t>
  </si>
  <si>
    <t>가회동샤브칼국수 (송도컨벤시아점)</t>
  </si>
  <si>
    <t>737-69-00211</t>
  </si>
  <si>
    <t>140</t>
  </si>
  <si>
    <t>11:29:52</t>
  </si>
  <si>
    <t>30002318</t>
  </si>
  <si>
    <t>더 제이디(The JD)</t>
  </si>
  <si>
    <t>836-14-00876</t>
  </si>
  <si>
    <t>141</t>
  </si>
  <si>
    <t>11:27:45</t>
  </si>
  <si>
    <t>30002309</t>
  </si>
  <si>
    <t>아린이네 생선가게</t>
  </si>
  <si>
    <t>143-24-00905</t>
  </si>
  <si>
    <t>142</t>
  </si>
  <si>
    <t>11:14:41</t>
  </si>
  <si>
    <t>30002299</t>
  </si>
  <si>
    <t>라프</t>
  </si>
  <si>
    <t>725-01-02410</t>
  </si>
  <si>
    <t>143</t>
  </si>
  <si>
    <t>11:09:40</t>
  </si>
  <si>
    <t>30002286</t>
  </si>
  <si>
    <t>엠에스글로벌 유한회사</t>
  </si>
  <si>
    <t>167-81-00641</t>
  </si>
  <si>
    <t>144</t>
  </si>
  <si>
    <t>20:15:36</t>
  </si>
  <si>
    <t>30002278</t>
  </si>
  <si>
    <t>145</t>
  </si>
  <si>
    <t>20:12:34</t>
  </si>
  <si>
    <t>30002267</t>
  </si>
  <si>
    <t>146</t>
  </si>
  <si>
    <t>14:04:50</t>
  </si>
  <si>
    <t>30002256</t>
  </si>
  <si>
    <t>(주)에이치앤엠헤네스앤모리츠</t>
  </si>
  <si>
    <t>220-87-83339</t>
  </si>
  <si>
    <t>147</t>
  </si>
  <si>
    <t>13:56:13</t>
  </si>
  <si>
    <t>30002242</t>
  </si>
  <si>
    <t>148</t>
  </si>
  <si>
    <t>13:25:45</t>
  </si>
  <si>
    <t>30002234</t>
  </si>
  <si>
    <t>149</t>
  </si>
  <si>
    <t>12:10:48</t>
  </si>
  <si>
    <t>30002220</t>
  </si>
  <si>
    <t>150</t>
  </si>
  <si>
    <t>14:00:14</t>
  </si>
  <si>
    <t>30002212</t>
  </si>
  <si>
    <t>151</t>
  </si>
  <si>
    <t>11:22:33</t>
  </si>
  <si>
    <t>30002201</t>
  </si>
  <si>
    <t>152</t>
  </si>
  <si>
    <t>13:49:43</t>
  </si>
  <si>
    <t>30002190</t>
  </si>
  <si>
    <t>153</t>
  </si>
  <si>
    <t>16:59:18</t>
  </si>
  <si>
    <t>30002188</t>
  </si>
  <si>
    <t>154</t>
  </si>
  <si>
    <t>16:57:38</t>
  </si>
  <si>
    <t>30002177</t>
  </si>
  <si>
    <t>155</t>
  </si>
  <si>
    <t>20:55:07</t>
  </si>
  <si>
    <t>30002160</t>
  </si>
  <si>
    <t>네이버페이</t>
  </si>
  <si>
    <t>156</t>
  </si>
  <si>
    <t>21:44:25</t>
  </si>
  <si>
    <t>30002159</t>
  </si>
  <si>
    <t>04551 서울 중구 을지로 100 파인에비뉴 A동 (을지로2가)
대표전화:(카드) ☎1544-7000/ (할부) ☎ 1544-7100</t>
  </si>
  <si>
    <t>신 한 카 드  (주)</t>
  </si>
  <si>
    <t>위 확인서 상의 내용은 작성일자를 기준으로 전산상 반영 처리된 내용(금액)으로서
전산처리 상의 지연등으로 인한 미 반영된 경우로 인하여 다소 차이가 발생 할 수 있습니다.</t>
  </si>
  <si>
    <t>건</t>
  </si>
  <si>
    <t>합계</t>
  </si>
  <si>
    <t>과세유형</t>
  </si>
  <si>
    <t>일반</t>
  </si>
  <si>
    <t>다날_코엠_일반(구)</t>
  </si>
  <si>
    <t>일시불</t>
  </si>
  <si>
    <t>9410-6186-****-320*</t>
  </si>
  <si>
    <t>폐업</t>
  </si>
  <si>
    <t>대경한의원</t>
  </si>
  <si>
    <t>할부 4 개월</t>
  </si>
  <si>
    <t>해든소망약국</t>
  </si>
  <si>
    <t>면세</t>
  </si>
  <si>
    <t>연수베스트내과의원</t>
  </si>
  <si>
    <t>와이에스인터네셔널</t>
  </si>
  <si>
    <t>행정안전부</t>
  </si>
  <si>
    <t>할부 3 개월</t>
  </si>
  <si>
    <t>삼천리 도시가스 한국정보통신 (주)</t>
  </si>
  <si>
    <t>삼천리도시가스</t>
  </si>
  <si>
    <t>현대해상화재보험(주)</t>
  </si>
  <si>
    <t>이동의즐거움_택시_0</t>
  </si>
  <si>
    <t>인천광역시주민세（개인분</t>
  </si>
  <si>
    <t>LGU+통신**00-5322 자동이체</t>
  </si>
  <si>
    <t>민자도로 후불교통카드_이동의즐거움</t>
  </si>
  <si>
    <t>주식회사 메트로코리아</t>
  </si>
  <si>
    <t>한국도로공사</t>
  </si>
  <si>
    <t>신한카드SMS이용료</t>
  </si>
  <si>
    <t>(주)코리아세븐 인천연수샘말점</t>
  </si>
  <si>
    <t>우체국</t>
  </si>
  <si>
    <t>현금서비스</t>
  </si>
  <si>
    <t>의무간이</t>
  </si>
  <si>
    <t>미앤미(Me&amp;Me)헤어크리닝</t>
  </si>
  <si>
    <t>세외전체  3건</t>
  </si>
  <si>
    <t>지방세전체6건</t>
  </si>
  <si>
    <t>할부 6 개월</t>
  </si>
  <si>
    <t>갤럭시아_ARS</t>
  </si>
  <si>
    <t>주식회사서서울선학현대</t>
  </si>
  <si>
    <t>그시절 동태촌 인천연수점</t>
  </si>
  <si>
    <t>홈마트</t>
  </si>
  <si>
    <t>주식회사 돈풀</t>
  </si>
  <si>
    <t>코리아세븐-인천연수점</t>
  </si>
  <si>
    <t>호치킨</t>
  </si>
  <si>
    <t>모바일현금서비스</t>
  </si>
  <si>
    <t>아방궁</t>
  </si>
  <si>
    <t>이선아 정신의학과 의원</t>
  </si>
  <si>
    <t>파미스하나약국</t>
  </si>
  <si>
    <t>연수이이주내과의원</t>
  </si>
  <si>
    <t>(주)홈앤쇼핑</t>
  </si>
  <si>
    <t>레푸스&amp;피오레네일</t>
  </si>
  <si>
    <t>로그인 인천대입구역점</t>
  </si>
  <si>
    <t>체크</t>
  </si>
  <si>
    <t>4309-7200-****-803*</t>
  </si>
  <si>
    <t>LGU+통신**03-5600 자동이체</t>
  </si>
  <si>
    <t>01월지하철3건</t>
  </si>
  <si>
    <t>01월통합인천버스4건</t>
  </si>
  <si>
    <t>만월산터널</t>
  </si>
  <si>
    <t>문학개발(주)</t>
  </si>
  <si>
    <t>쿠팡</t>
  </si>
  <si>
    <t>문학터널0227</t>
  </si>
  <si>
    <t>주식회사 세계로유통 (연수점)</t>
  </si>
  <si>
    <t>지방세전체4건</t>
  </si>
  <si>
    <t>(사단법인)금융결제원_국세(앱카드)</t>
  </si>
  <si>
    <t>롯데쇼핑(주)롯데마트연수점</t>
  </si>
  <si>
    <t>문학터널0215</t>
  </si>
  <si>
    <t>01전기1111097605</t>
  </si>
  <si>
    <t>12전기1111097605</t>
  </si>
  <si>
    <t>(주)티머니 티머니강남순환도로</t>
  </si>
  <si>
    <t>법원행정처</t>
  </si>
  <si>
    <t>문학터널0205</t>
  </si>
  <si>
    <t>(주) 나래엔터프라이즈</t>
  </si>
  <si>
    <t>옥션</t>
  </si>
  <si>
    <t>문학터널0201</t>
  </si>
  <si>
    <t>한국건설기술인협회</t>
  </si>
  <si>
    <t>리볼빙신판</t>
  </si>
  <si>
    <t>티머니 택시-서울31사4765</t>
  </si>
  <si>
    <t>노랑통닭 인천연수점</t>
  </si>
  <si>
    <t>LGU+통신5600  -    **즉시납부</t>
  </si>
  <si>
    <t>한국전력공사(인터넷납부)</t>
  </si>
  <si>
    <t>세븐일레븐 인천연수타운점</t>
  </si>
  <si>
    <t>(주)안스</t>
  </si>
  <si>
    <t>GS25연수단비점</t>
  </si>
  <si>
    <t>카페루컷</t>
  </si>
  <si>
    <t>문학터널1222</t>
  </si>
  <si>
    <t>모미락 연수</t>
  </si>
  <si>
    <t>CU 연수메카점</t>
  </si>
  <si>
    <t>GS25 연수대동점</t>
  </si>
  <si>
    <t>스카이치과</t>
  </si>
  <si>
    <t>씨유 연수역점</t>
  </si>
  <si>
    <t>문학터널1212</t>
  </si>
  <si>
    <t>더에덴</t>
  </si>
  <si>
    <t>열린약국</t>
  </si>
  <si>
    <t>월드마트</t>
  </si>
  <si>
    <t>본죽&amp;비빔밥카페(cafe)연수점</t>
  </si>
  <si>
    <t>지에스(GS)25 학익중앙</t>
  </si>
  <si>
    <t>티머니 택시-인천31바7909</t>
  </si>
  <si>
    <t>장수촌보리밥</t>
  </si>
  <si>
    <t>우정사업본부(우체국)</t>
  </si>
  <si>
    <t>문학터널1114</t>
  </si>
  <si>
    <t>KT통신요금 납부</t>
  </si>
  <si>
    <t>CU연수엘리점</t>
  </si>
  <si>
    <t>미니스톱 인천메카점</t>
  </si>
  <si>
    <t>09전기1111097605</t>
  </si>
  <si>
    <t>인천32바1109</t>
  </si>
  <si>
    <t>인천30바8037</t>
  </si>
  <si>
    <t>09월통합인천버스2건</t>
  </si>
  <si>
    <t>08월통합인천버스4건</t>
  </si>
  <si>
    <t>(주)코리아세븐 주안우수점</t>
  </si>
  <si>
    <t>금수라부대찌개</t>
  </si>
  <si>
    <t>아이지에이 연수역점</t>
  </si>
  <si>
    <t>남가네설악추어탕</t>
  </si>
  <si>
    <t>인천상회(젓갈57)</t>
  </si>
  <si>
    <t>순화상회</t>
  </si>
  <si>
    <t>인천30바1230</t>
  </si>
  <si>
    <t>남동모밀방</t>
  </si>
  <si>
    <t>문학터널0901</t>
  </si>
  <si>
    <t>백암왕순대</t>
  </si>
  <si>
    <t>콩닭콩닭</t>
  </si>
  <si>
    <t>GS25 연수타운점</t>
  </si>
  <si>
    <t>이마트24 연수로데오점</t>
  </si>
  <si>
    <t>인천30바2320</t>
  </si>
  <si>
    <t>이동의즐거움_택시9</t>
  </si>
  <si>
    <t>씨유  연수청학점</t>
  </si>
  <si>
    <t>인천30바7430</t>
  </si>
  <si>
    <t>파리바게뜨 연수마그넷점</t>
  </si>
  <si>
    <t>은혜수산</t>
  </si>
  <si>
    <t>인천시설공단</t>
  </si>
  <si>
    <t>백채김치찌개</t>
  </si>
  <si>
    <t>06월지하철2건</t>
  </si>
  <si>
    <t>한국에이티씨센터(주)</t>
  </si>
  <si>
    <t>보타나(BOTANA)</t>
  </si>
  <si>
    <t>GS25연수경원점</t>
  </si>
  <si>
    <t>연탄돼지불고기</t>
  </si>
  <si>
    <t>최부자네</t>
  </si>
  <si>
    <t>다온나마트연수청량타운점</t>
  </si>
  <si>
    <t>연수왕냉면</t>
  </si>
  <si>
    <t>에이스마트</t>
  </si>
  <si>
    <t>청학모밀방</t>
  </si>
  <si>
    <t>씨유 오남행복점</t>
  </si>
  <si>
    <t>인천30바5630</t>
  </si>
  <si>
    <t>주식회사 티몬</t>
  </si>
  <si>
    <t>페리카나(대우삼환점)</t>
  </si>
  <si>
    <t>04월통합인천버스3건</t>
  </si>
  <si>
    <t>05월지하철1건</t>
  </si>
  <si>
    <t>세븐일레븐  연수그린점</t>
  </si>
  <si>
    <t>인천30바8352</t>
  </si>
  <si>
    <t>(주)북서울에너지  선학</t>
  </si>
  <si>
    <t>(자)도진기업(광장주유소)</t>
  </si>
  <si>
    <t>타이거(TIGER)</t>
  </si>
  <si>
    <t>주식회사 연우파킹</t>
  </si>
  <si>
    <t>이북할매</t>
  </si>
  <si>
    <t>원조닭집전문</t>
  </si>
  <si>
    <t>03월서울버스1건</t>
  </si>
  <si>
    <t>03월지하철3건</t>
  </si>
  <si>
    <t>03월통합인천버스4건</t>
  </si>
  <si>
    <t>4364-2007-****-222*</t>
  </si>
  <si>
    <t>(주)코리아세븐 서초역사거리점</t>
  </si>
  <si>
    <t>장모족발</t>
  </si>
  <si>
    <t>컴포즈커피</t>
  </si>
  <si>
    <t>(주)후이즈</t>
  </si>
  <si>
    <t>03월통합인천버스1건</t>
  </si>
  <si>
    <t>02월지하철4건</t>
  </si>
  <si>
    <t>02월통합인천버스4건</t>
  </si>
  <si>
    <t>간이</t>
  </si>
  <si>
    <t>개인택시</t>
  </si>
  <si>
    <t>의료법인  나사렛의료재단</t>
  </si>
  <si>
    <t>예스이십사 주식회사</t>
  </si>
  <si>
    <t>예스이십사  주식회사</t>
  </si>
  <si>
    <t>희망약국</t>
  </si>
  <si>
    <t>앱카드현금서비스</t>
  </si>
  <si>
    <t>01월통합인천버스1건</t>
  </si>
  <si>
    <t>카이정헤어연수동춘점</t>
  </si>
  <si>
    <t>정정아식당</t>
  </si>
  <si>
    <t>세븐일레븐 연수그린점</t>
  </si>
  <si>
    <t>파리바게뜨연수대동점</t>
  </si>
  <si>
    <t>더달달아이스크림할인점</t>
  </si>
  <si>
    <t>01월지하철1건</t>
  </si>
  <si>
    <t>대우자동차정비</t>
  </si>
  <si>
    <t>리볼빙  재발생(일시불)</t>
  </si>
  <si>
    <t>지현종합상사</t>
  </si>
  <si>
    <t>대동월드세탁소</t>
  </si>
  <si>
    <t>비과세</t>
  </si>
  <si>
    <t>부가세</t>
  </si>
  <si>
    <t>공급가액</t>
  </si>
  <si>
    <t>매출금액</t>
  </si>
  <si>
    <t>사업자번호</t>
  </si>
  <si>
    <t>가맹점명</t>
  </si>
  <si>
    <t>상품구분</t>
  </si>
  <si>
    <t>카드번호</t>
  </si>
  <si>
    <t>확정일</t>
  </si>
  <si>
    <t>거래일</t>
  </si>
  <si>
    <t>◆기간:</t>
  </si>
  <si>
    <t>성명</t>
  </si>
  <si>
    <t>카드발급일</t>
  </si>
  <si>
    <t>개인(사업자)과거거래 현황</t>
  </si>
  <si>
    <t>□ 제출용 (사용용도 이외 사용불가)</t>
  </si>
  <si>
    <t>▣ 확인용</t>
  </si>
  <si>
    <t>■사용 용도</t>
  </si>
  <si>
    <t>□ 대리인</t>
  </si>
  <si>
    <t>▣ 본인</t>
  </si>
  <si>
    <t>■발행 신청인</t>
  </si>
  <si>
    <t>16:29:23</t>
  </si>
  <si>
    <t>2025/12/24</t>
  </si>
  <si>
    <t xml:space="preserve">발행일시: </t>
  </si>
  <si>
    <t>20251224162923582</t>
  </si>
  <si>
    <t>발행번호</t>
  </si>
  <si>
    <t xml:space="preserve"> </t>
  </si>
  <si>
    <t>48580</t>
  </si>
  <si>
    <t xml:space="preserve">  </t>
  </si>
  <si>
    <t>국내승인</t>
  </si>
  <si>
    <t>81-060-30257</t>
  </si>
  <si>
    <t>116-81-00755</t>
  </si>
  <si>
    <t>(주)삼천리도시가스_자동이체</t>
  </si>
  <si>
    <t>5197-18**-****-6784</t>
  </si>
  <si>
    <t>2024-01-03</t>
  </si>
  <si>
    <t>14650</t>
  </si>
  <si>
    <t>00-988870937</t>
  </si>
  <si>
    <t>480-70-00169</t>
  </si>
  <si>
    <t>씨유연수롯데점</t>
  </si>
  <si>
    <t>2024-01-07</t>
  </si>
  <si>
    <t>16600</t>
  </si>
  <si>
    <t>2024-01-08</t>
  </si>
  <si>
    <t>46900</t>
  </si>
  <si>
    <t>00-906245296</t>
  </si>
  <si>
    <t>759-95-01261</t>
  </si>
  <si>
    <t>2024-01-10</t>
  </si>
  <si>
    <t>5800</t>
  </si>
  <si>
    <t>00-992013342</t>
  </si>
  <si>
    <t>440-33-00512</t>
  </si>
  <si>
    <t>바른약국</t>
  </si>
  <si>
    <t>25900</t>
  </si>
  <si>
    <t>00-976318634</t>
  </si>
  <si>
    <t>(주)우아한형제들_나이스</t>
  </si>
  <si>
    <t>2024-01-11</t>
  </si>
  <si>
    <t>4600</t>
  </si>
  <si>
    <t>2024-01-13</t>
  </si>
  <si>
    <t>7500</t>
  </si>
  <si>
    <t>00-914984159</t>
  </si>
  <si>
    <t>318-20-01683</t>
  </si>
  <si>
    <t>하나약국</t>
  </si>
  <si>
    <t>17000</t>
  </si>
  <si>
    <t>80810</t>
  </si>
  <si>
    <t>81-060-29694</t>
  </si>
  <si>
    <t>120-82-00052</t>
  </si>
  <si>
    <t>한국전력공사(아파트외_자동이체납부)</t>
  </si>
  <si>
    <t>2024-01-15</t>
  </si>
  <si>
    <t>90740</t>
  </si>
  <si>
    <t>00-901580416</t>
  </si>
  <si>
    <t>870-88-01143</t>
  </si>
  <si>
    <t>SSG.COM</t>
  </si>
  <si>
    <t>2024-01-17</t>
  </si>
  <si>
    <t>226260</t>
  </si>
  <si>
    <t xml:space="preserve">02 </t>
  </si>
  <si>
    <t>00-923170468</t>
  </si>
  <si>
    <t>2024-01-18</t>
  </si>
  <si>
    <t>30900</t>
  </si>
  <si>
    <t>00-996100095</t>
  </si>
  <si>
    <t>220-81-55597</t>
  </si>
  <si>
    <t>공영홈쇼핑(모바일)_이니시스</t>
  </si>
  <si>
    <t>2024-01-19</t>
  </si>
  <si>
    <t>33800</t>
  </si>
  <si>
    <t>00-911830909</t>
  </si>
  <si>
    <t>211-90-16893</t>
  </si>
  <si>
    <t>압구정성모안과의원</t>
  </si>
  <si>
    <t>2024-01-22</t>
  </si>
  <si>
    <t>91000</t>
  </si>
  <si>
    <t>00-904204030</t>
  </si>
  <si>
    <t>104-41-65439</t>
  </si>
  <si>
    <t>카이정헤어 연수동춘점</t>
  </si>
  <si>
    <t>2024-01-24</t>
  </si>
  <si>
    <t>134810</t>
  </si>
  <si>
    <t>00-981372261</t>
  </si>
  <si>
    <t>104-86-56659</t>
  </si>
  <si>
    <t>아파트관리비</t>
  </si>
  <si>
    <t>2024-01-25</t>
  </si>
  <si>
    <t>16200</t>
  </si>
  <si>
    <t>00-978398535</t>
  </si>
  <si>
    <t>2024-01-30</t>
  </si>
  <si>
    <t>10000</t>
  </si>
  <si>
    <t>00-975936360</t>
  </si>
  <si>
    <t>191-48-00012</t>
  </si>
  <si>
    <t>올댓</t>
  </si>
  <si>
    <t>2024-01-31</t>
  </si>
  <si>
    <t>68730</t>
  </si>
  <si>
    <t>00-989216916</t>
  </si>
  <si>
    <t>116-81-19948</t>
  </si>
  <si>
    <t>위메프_KICC</t>
  </si>
  <si>
    <t>2024-02-01</t>
  </si>
  <si>
    <t>99510</t>
  </si>
  <si>
    <t>67000</t>
  </si>
  <si>
    <t>124240</t>
  </si>
  <si>
    <t>6500</t>
  </si>
  <si>
    <t>00-914187233</t>
  </si>
  <si>
    <t>149-01-02955</t>
  </si>
  <si>
    <t>한양김밥</t>
  </si>
  <si>
    <t>2024-02-02</t>
  </si>
  <si>
    <t>16000</t>
  </si>
  <si>
    <t>00-915762877</t>
  </si>
  <si>
    <t>264-15-02019</t>
  </si>
  <si>
    <t>송도다정이네</t>
  </si>
  <si>
    <t>8000</t>
  </si>
  <si>
    <t>26310</t>
  </si>
  <si>
    <t>81-025-23439</t>
  </si>
  <si>
    <t>2024-02-03</t>
  </si>
  <si>
    <t>27500</t>
  </si>
  <si>
    <t>00-918180655</t>
  </si>
  <si>
    <t>708-85-02491</t>
  </si>
  <si>
    <t>웅이식자재마트</t>
  </si>
  <si>
    <t>2024-02-04</t>
  </si>
  <si>
    <t>18040</t>
  </si>
  <si>
    <t>2024-02-07</t>
  </si>
  <si>
    <t>113000</t>
  </si>
  <si>
    <t xml:space="preserve">03 </t>
  </si>
  <si>
    <t>00-996100111</t>
  </si>
  <si>
    <t>공영홈쇼핑(모바일무이자)_이니시스</t>
  </si>
  <si>
    <t>2024-02-09</t>
  </si>
  <si>
    <t>3860</t>
  </si>
  <si>
    <t>00-916110489</t>
  </si>
  <si>
    <t>101-83-02925</t>
  </si>
  <si>
    <t>2024-02-13</t>
  </si>
  <si>
    <t>13000</t>
  </si>
  <si>
    <t>00-901289851</t>
  </si>
  <si>
    <t>126-59-00315</t>
  </si>
  <si>
    <t>연수태평양약국</t>
  </si>
  <si>
    <t>7000</t>
  </si>
  <si>
    <t>00-901921008</t>
  </si>
  <si>
    <t>476-44-00517</t>
  </si>
  <si>
    <t>이 향기로운세탁</t>
  </si>
  <si>
    <t>17660</t>
  </si>
  <si>
    <t>78190</t>
  </si>
  <si>
    <t>2024-02-15</t>
  </si>
  <si>
    <t>00-900896813</t>
  </si>
  <si>
    <t>365-03-01682</t>
  </si>
  <si>
    <t>김밥천국</t>
  </si>
  <si>
    <t>2024-02-16</t>
  </si>
  <si>
    <t>4800</t>
  </si>
  <si>
    <t>2024-02-17</t>
  </si>
  <si>
    <t>20000</t>
  </si>
  <si>
    <t>00-955768379</t>
  </si>
  <si>
    <t>121-16-66348</t>
  </si>
  <si>
    <t>2024-02-18</t>
  </si>
  <si>
    <t>38900</t>
  </si>
  <si>
    <t>2024-02-20</t>
  </si>
  <si>
    <t>2024-02-21</t>
  </si>
  <si>
    <t>128730</t>
  </si>
  <si>
    <t>2024-02-23</t>
  </si>
  <si>
    <t>9100</t>
  </si>
  <si>
    <t>00-956481238</t>
  </si>
  <si>
    <t>131-17-50632</t>
  </si>
  <si>
    <t>36040</t>
  </si>
  <si>
    <t>2024-02-24</t>
  </si>
  <si>
    <t>59060</t>
  </si>
  <si>
    <t>2024-02-25</t>
  </si>
  <si>
    <t>14600</t>
  </si>
  <si>
    <t>00-990287310</t>
  </si>
  <si>
    <t>2024-02-26</t>
  </si>
  <si>
    <t>15000</t>
  </si>
  <si>
    <t>2024-02-28</t>
  </si>
  <si>
    <t>39000</t>
  </si>
  <si>
    <t>45000</t>
  </si>
  <si>
    <t>81-062-44275</t>
  </si>
  <si>
    <t>104-81-36565</t>
  </si>
  <si>
    <t>CJ시스템즈PG_CGV</t>
  </si>
  <si>
    <t>2024-03-01</t>
  </si>
  <si>
    <t>28410</t>
  </si>
  <si>
    <t>2024-03-03</t>
  </si>
  <si>
    <t>170000</t>
  </si>
  <si>
    <t>00-985285949</t>
  </si>
  <si>
    <t>네이버파이낸셜㈜</t>
  </si>
  <si>
    <t>2024-03-04</t>
  </si>
  <si>
    <t>14900</t>
  </si>
  <si>
    <t>107350</t>
  </si>
  <si>
    <t>33000</t>
  </si>
  <si>
    <t>2024-03-06</t>
  </si>
  <si>
    <t>11250</t>
  </si>
  <si>
    <t>00-978735447</t>
  </si>
  <si>
    <t>쿠팡_KICC</t>
  </si>
  <si>
    <t>2024-03-07</t>
  </si>
  <si>
    <t>17300</t>
  </si>
  <si>
    <t>2024-03-09</t>
  </si>
  <si>
    <t>108070</t>
  </si>
  <si>
    <t>2024-03-11</t>
  </si>
  <si>
    <t>14668</t>
  </si>
  <si>
    <t>5200</t>
  </si>
  <si>
    <t>2024-03-13</t>
  </si>
  <si>
    <t>4400</t>
  </si>
  <si>
    <t>75330</t>
  </si>
  <si>
    <t>2024-03-15</t>
  </si>
  <si>
    <t>00-909404155</t>
  </si>
  <si>
    <t>241-81-02326</t>
  </si>
  <si>
    <t>(주)주원베이커리(뚜레쥬르나사렛국제병원점)</t>
  </si>
  <si>
    <t>2024-03-16</t>
  </si>
  <si>
    <t>13662</t>
  </si>
  <si>
    <t>2024-03-18</t>
  </si>
  <si>
    <t>14500</t>
  </si>
  <si>
    <t>2024-03-21</t>
  </si>
  <si>
    <t>2024-03-23</t>
  </si>
  <si>
    <t>22000</t>
  </si>
  <si>
    <t>00-996875084</t>
  </si>
  <si>
    <t>PAYCO오더_인증_KCP</t>
  </si>
  <si>
    <t>3500</t>
  </si>
  <si>
    <t>2024-03-24</t>
  </si>
  <si>
    <t>12662</t>
  </si>
  <si>
    <t>2024-03-25</t>
  </si>
  <si>
    <t>17800</t>
  </si>
  <si>
    <t>2024-03-26</t>
  </si>
  <si>
    <t>124340</t>
  </si>
  <si>
    <t>12000</t>
  </si>
  <si>
    <t>2024-03-30</t>
  </si>
  <si>
    <t>13682</t>
  </si>
  <si>
    <t>2024-04-01</t>
  </si>
  <si>
    <t>9800</t>
  </si>
  <si>
    <t>00-957569536</t>
  </si>
  <si>
    <t>131-91-91327</t>
  </si>
  <si>
    <t>이성문소아청소년과의원</t>
  </si>
  <si>
    <t>2024-04-03</t>
  </si>
  <si>
    <t>6400</t>
  </si>
  <si>
    <t>00-920584406</t>
  </si>
  <si>
    <t>131-12-88865</t>
  </si>
  <si>
    <t>연수건강옵티마약국</t>
  </si>
  <si>
    <t>75640</t>
  </si>
  <si>
    <t>00-906062477</t>
  </si>
  <si>
    <t>773-91-01560</t>
  </si>
  <si>
    <t>건강한내과의원</t>
  </si>
  <si>
    <t>2024-04-04</t>
  </si>
  <si>
    <t>00-905414877</t>
  </si>
  <si>
    <t>851-10-01600</t>
  </si>
  <si>
    <t>팜프라자연수제일약국</t>
  </si>
  <si>
    <t>5400</t>
  </si>
  <si>
    <t>1300</t>
  </si>
  <si>
    <t>2024-04-06</t>
  </si>
  <si>
    <t>600</t>
  </si>
  <si>
    <t>102460</t>
  </si>
  <si>
    <t>13702</t>
  </si>
  <si>
    <t>2024-04-08</t>
  </si>
  <si>
    <t>14200</t>
  </si>
  <si>
    <t>2024-04-09</t>
  </si>
  <si>
    <t>25000</t>
  </si>
  <si>
    <t>54900</t>
  </si>
  <si>
    <t>2024-04-13</t>
  </si>
  <si>
    <t>3700</t>
  </si>
  <si>
    <t>2024-04-15</t>
  </si>
  <si>
    <t>41500</t>
  </si>
  <si>
    <t>00-986167013</t>
  </si>
  <si>
    <t>141-96-00361</t>
  </si>
  <si>
    <t>큰바위정형외과</t>
  </si>
  <si>
    <t>39100</t>
  </si>
  <si>
    <t>21260</t>
  </si>
  <si>
    <t>00-904956399</t>
  </si>
  <si>
    <t>612-85-22406</t>
  </si>
  <si>
    <t>청량산제빵소</t>
  </si>
  <si>
    <t>64410</t>
  </si>
  <si>
    <t>38000</t>
  </si>
  <si>
    <t>00-993414663</t>
  </si>
  <si>
    <t>(주)우아한형제들_KCP</t>
  </si>
  <si>
    <t>2024-04-21</t>
  </si>
  <si>
    <t>144040</t>
  </si>
  <si>
    <t>2024-04-23</t>
  </si>
  <si>
    <t>14000</t>
  </si>
  <si>
    <t>00-946553914</t>
  </si>
  <si>
    <t>213-81-52063</t>
  </si>
  <si>
    <t>(주)아성다이소</t>
  </si>
  <si>
    <t>2024-04-24</t>
  </si>
  <si>
    <t>133660</t>
  </si>
  <si>
    <t>14930</t>
  </si>
  <si>
    <t>00-964907778</t>
  </si>
  <si>
    <t>쿠팡전용_KCP</t>
  </si>
  <si>
    <t>2024-04-25</t>
  </si>
  <si>
    <t>21600</t>
  </si>
  <si>
    <t>5500</t>
  </si>
  <si>
    <t>2024-04-28</t>
  </si>
  <si>
    <t>2024-05-01</t>
  </si>
  <si>
    <t>2400000</t>
  </si>
  <si>
    <t xml:space="preserve">06 </t>
  </si>
  <si>
    <t>23520</t>
  </si>
  <si>
    <t>2024-05-02</t>
  </si>
  <si>
    <t>43960</t>
  </si>
  <si>
    <t>2024-05-04</t>
  </si>
  <si>
    <t>25240</t>
  </si>
  <si>
    <t>33510</t>
  </si>
  <si>
    <t>11600</t>
  </si>
  <si>
    <t>00-905860798</t>
  </si>
  <si>
    <t>732-46-00783</t>
  </si>
  <si>
    <t>얼음대왕</t>
  </si>
  <si>
    <t>13500</t>
  </si>
  <si>
    <t>2024-05-05</t>
  </si>
  <si>
    <t>108630</t>
  </si>
  <si>
    <t>2024-05-09</t>
  </si>
  <si>
    <t>48460</t>
  </si>
  <si>
    <t>00-904551257</t>
  </si>
  <si>
    <t>㈜우아한형제들_나이스</t>
  </si>
  <si>
    <t>2024-05-10</t>
  </si>
  <si>
    <t>120000</t>
  </si>
  <si>
    <t>00-993466929</t>
  </si>
  <si>
    <t>597-81-01273</t>
  </si>
  <si>
    <t>(주)창민씨푸드</t>
  </si>
  <si>
    <t>2024-05-11</t>
  </si>
  <si>
    <t>109420</t>
  </si>
  <si>
    <t>Y</t>
  </si>
  <si>
    <t>282800</t>
  </si>
  <si>
    <t xml:space="preserve">04 </t>
  </si>
  <si>
    <t>00-901295071</t>
  </si>
  <si>
    <t>314-82-10024</t>
  </si>
  <si>
    <t>철도승차권  발매</t>
  </si>
  <si>
    <t>2024-05-13</t>
  </si>
  <si>
    <t>2024-05-14</t>
  </si>
  <si>
    <t>65200</t>
  </si>
  <si>
    <t>2024-05-16</t>
  </si>
  <si>
    <t>12100</t>
  </si>
  <si>
    <t>2024-05-17</t>
  </si>
  <si>
    <t>54650</t>
  </si>
  <si>
    <t>00-964450720</t>
  </si>
  <si>
    <t>홈플러스인천연수점</t>
  </si>
  <si>
    <t>2024-05-18</t>
  </si>
  <si>
    <t>2024-05-20</t>
  </si>
  <si>
    <t>110300</t>
  </si>
  <si>
    <t>25400</t>
  </si>
  <si>
    <t>228320</t>
  </si>
  <si>
    <t>2024-05-24</t>
  </si>
  <si>
    <t>135890</t>
  </si>
  <si>
    <t>2024-05-27</t>
  </si>
  <si>
    <t>5000</t>
  </si>
  <si>
    <t>2024-05-28</t>
  </si>
  <si>
    <t>24870</t>
  </si>
  <si>
    <t>12500</t>
  </si>
  <si>
    <t>2024-05-29</t>
  </si>
  <si>
    <t>00-978363158</t>
  </si>
  <si>
    <t>292-87-00177</t>
  </si>
  <si>
    <t>(주)안스연수점</t>
  </si>
  <si>
    <t>2024-05-31</t>
  </si>
  <si>
    <t>54100</t>
  </si>
  <si>
    <t>2024-06-02</t>
  </si>
  <si>
    <t>11000</t>
  </si>
  <si>
    <t>00-902411819</t>
  </si>
  <si>
    <t>772-99-01073</t>
  </si>
  <si>
    <t>야채네과일가게</t>
  </si>
  <si>
    <t>2024-06-03</t>
  </si>
  <si>
    <t>39900</t>
  </si>
  <si>
    <t>00-903769876</t>
  </si>
  <si>
    <t>NS홈쇼핑_KCP</t>
  </si>
  <si>
    <t>28860</t>
  </si>
  <si>
    <t>111280</t>
  </si>
  <si>
    <t>00-902834150</t>
  </si>
  <si>
    <t>120-81-97322</t>
  </si>
  <si>
    <t>CJ올리브영_국내_KSNET</t>
  </si>
  <si>
    <t>62334</t>
  </si>
  <si>
    <t>62800</t>
  </si>
  <si>
    <t>00-993861277</t>
  </si>
  <si>
    <t>대표(3)_KICC</t>
  </si>
  <si>
    <t>2024-06-04</t>
  </si>
  <si>
    <t>44630</t>
  </si>
  <si>
    <t>34490</t>
  </si>
  <si>
    <t>2024-06-10</t>
  </si>
  <si>
    <t>34170</t>
  </si>
  <si>
    <t>170200</t>
  </si>
  <si>
    <t>2024-06-11</t>
  </si>
  <si>
    <t>76800</t>
  </si>
  <si>
    <t>00-802278960</t>
  </si>
  <si>
    <t>9440</t>
  </si>
  <si>
    <t>2024-06-12</t>
  </si>
  <si>
    <t>6200</t>
  </si>
  <si>
    <t>00-961788015</t>
  </si>
  <si>
    <t>131-33-93039</t>
  </si>
  <si>
    <t>연수이안과의원</t>
  </si>
  <si>
    <t>5100</t>
  </si>
  <si>
    <t>00-962167482</t>
  </si>
  <si>
    <t>131-34-05736</t>
  </si>
  <si>
    <t>늘푸른약국</t>
  </si>
  <si>
    <t>15500</t>
  </si>
  <si>
    <t>00-918534596</t>
  </si>
  <si>
    <t>372-11-02501</t>
  </si>
  <si>
    <t>던킨도너츠 인천신동춘점</t>
  </si>
  <si>
    <t>00-912267300</t>
  </si>
  <si>
    <t>107-86-57147</t>
  </si>
  <si>
    <t>코레일유통(주)(광명역)</t>
  </si>
  <si>
    <t>2024-06-13</t>
  </si>
  <si>
    <t>50000</t>
  </si>
  <si>
    <t>00-906636148</t>
  </si>
  <si>
    <t>503-94-61602</t>
  </si>
  <si>
    <t>진주수산건어물</t>
  </si>
  <si>
    <t>2024-06-14</t>
  </si>
  <si>
    <t>22100</t>
  </si>
  <si>
    <t>2024-06-15</t>
  </si>
  <si>
    <t>12800</t>
  </si>
  <si>
    <t>00-994254621</t>
  </si>
  <si>
    <t>530-12-01046</t>
  </si>
  <si>
    <t>이마트24연수대우점</t>
  </si>
  <si>
    <t>173600</t>
  </si>
  <si>
    <t>2024-06-16</t>
  </si>
  <si>
    <t>201878</t>
  </si>
  <si>
    <t>62590</t>
  </si>
  <si>
    <t>2024-06-17</t>
  </si>
  <si>
    <t>21000</t>
  </si>
  <si>
    <t>2024-06-20</t>
  </si>
  <si>
    <t>00-911576800</t>
  </si>
  <si>
    <t>358-60-00655</t>
  </si>
  <si>
    <t>스퀘어365약국</t>
  </si>
  <si>
    <t>70000</t>
  </si>
  <si>
    <t>00-901844192</t>
  </si>
  <si>
    <t>560-25-01033</t>
  </si>
  <si>
    <t>직화한상 스퀘어원점</t>
  </si>
  <si>
    <t>2024-06-21</t>
  </si>
  <si>
    <t>65000</t>
  </si>
  <si>
    <t>00-910392373</t>
  </si>
  <si>
    <t>485-99-01276</t>
  </si>
  <si>
    <t>청춘조개</t>
  </si>
  <si>
    <t>2024-06-22</t>
  </si>
  <si>
    <t>120220</t>
  </si>
  <si>
    <t>138180</t>
  </si>
  <si>
    <t>2024-06-25</t>
  </si>
  <si>
    <t>00-917350267</t>
  </si>
  <si>
    <t>184-29-01502</t>
  </si>
  <si>
    <t>불닭발땡초동대문엽기떡볶이 인천동춘점</t>
  </si>
  <si>
    <t>2024-06-27</t>
  </si>
  <si>
    <t>55000</t>
  </si>
  <si>
    <t>2024-06-28</t>
  </si>
  <si>
    <t>00-992608026</t>
  </si>
  <si>
    <t>413-95-02592</t>
  </si>
  <si>
    <t>민영</t>
  </si>
  <si>
    <t>4990</t>
  </si>
  <si>
    <t>81-018-28191</t>
  </si>
  <si>
    <t>117-81-33400</t>
  </si>
  <si>
    <t>롯데홈쇼핑-온라인일반</t>
  </si>
  <si>
    <t>2024-07-01</t>
  </si>
  <si>
    <t>67216</t>
  </si>
  <si>
    <t>32730</t>
  </si>
  <si>
    <t>2024-07-03</t>
  </si>
  <si>
    <t>34000</t>
  </si>
  <si>
    <t>00-956173819</t>
  </si>
  <si>
    <t>131-86-24014</t>
  </si>
  <si>
    <t>(주)황실</t>
  </si>
  <si>
    <t>2024-07-04</t>
  </si>
  <si>
    <t>00-967071119</t>
  </si>
  <si>
    <t>119-81-84716</t>
  </si>
  <si>
    <t>공공기관_KPN</t>
  </si>
  <si>
    <t>00-906549986</t>
  </si>
  <si>
    <t>KIS 정보통신_나이스</t>
  </si>
  <si>
    <t>22360</t>
  </si>
  <si>
    <t>00-915746342</t>
  </si>
  <si>
    <t>411-86-01799</t>
  </si>
  <si>
    <t>우아한형제들_TOSS</t>
  </si>
  <si>
    <t>3020</t>
  </si>
  <si>
    <t>3000</t>
  </si>
  <si>
    <t>00-902812172</t>
  </si>
  <si>
    <t>214-83-00617</t>
  </si>
  <si>
    <t>2024-07-05</t>
  </si>
  <si>
    <t>700</t>
  </si>
  <si>
    <t>00-930331905</t>
  </si>
  <si>
    <t>116-81-19477</t>
  </si>
  <si>
    <t>법원행정처_LG CNS</t>
  </si>
  <si>
    <t>2024-07-08</t>
  </si>
  <si>
    <t>69000</t>
  </si>
  <si>
    <t>00-912779437</t>
  </si>
  <si>
    <t>705-27-01455</t>
  </si>
  <si>
    <t>선학사골순대국</t>
  </si>
  <si>
    <t>00-917000755</t>
  </si>
  <si>
    <t>티무_TOSS</t>
  </si>
  <si>
    <t>2024-07-09</t>
  </si>
  <si>
    <t>17831</t>
  </si>
  <si>
    <t>23920</t>
  </si>
  <si>
    <t>2024-07-15</t>
  </si>
  <si>
    <t>61030</t>
  </si>
  <si>
    <t>143580</t>
  </si>
  <si>
    <t>2024-07-25</t>
  </si>
  <si>
    <t>1000000</t>
  </si>
  <si>
    <t>현금서비스(하나은행,인터넷거래)</t>
  </si>
  <si>
    <t>2024-08-11</t>
  </si>
  <si>
    <t>2500</t>
  </si>
  <si>
    <t>00-918295867</t>
  </si>
  <si>
    <t>수신료(자동이체)</t>
  </si>
  <si>
    <t>2024-08-16</t>
  </si>
  <si>
    <t>64510</t>
  </si>
  <si>
    <t xml:space="preserve">05 </t>
  </si>
  <si>
    <t>00-917760077</t>
  </si>
  <si>
    <t>477-88-01599</t>
  </si>
  <si>
    <t>023 shop</t>
  </si>
  <si>
    <t>2024-08-19</t>
  </si>
  <si>
    <t>140450</t>
  </si>
  <si>
    <t>2024-08-27</t>
  </si>
  <si>
    <t>40770</t>
  </si>
  <si>
    <t>2024-09-03</t>
  </si>
  <si>
    <t>2024-09-19</t>
  </si>
  <si>
    <t>143860</t>
  </si>
  <si>
    <t>138190</t>
  </si>
  <si>
    <t>2024-09-24</t>
  </si>
  <si>
    <t>808153</t>
  </si>
  <si>
    <t>00-973439367</t>
  </si>
  <si>
    <t>220-82-01439</t>
  </si>
  <si>
    <t>포털_건강보험공단</t>
  </si>
  <si>
    <t>2024-10-08</t>
  </si>
  <si>
    <t>129144</t>
  </si>
  <si>
    <t>1663</t>
  </si>
  <si>
    <t>1008000</t>
  </si>
  <si>
    <t xml:space="preserve">10 </t>
  </si>
  <si>
    <t>00-947327011</t>
  </si>
  <si>
    <t>국세(인터넷납부)</t>
  </si>
  <si>
    <t>2024-11-01</t>
  </si>
  <si>
    <t>32550</t>
  </si>
  <si>
    <t>547750</t>
  </si>
  <si>
    <t>00-995734456</t>
  </si>
  <si>
    <t>575-81-01332</t>
  </si>
  <si>
    <t>캐롯손해보험(주)</t>
  </si>
  <si>
    <t>2025-01-14</t>
  </si>
  <si>
    <t>2404540</t>
  </si>
  <si>
    <t>2025-01-16</t>
  </si>
  <si>
    <t>504000</t>
  </si>
  <si>
    <t>2025-02-03</t>
  </si>
  <si>
    <t>1691151</t>
  </si>
  <si>
    <t>2025-03-24</t>
  </si>
  <si>
    <t>2025-04-02</t>
  </si>
  <si>
    <t>43900</t>
  </si>
  <si>
    <t>00-918943649</t>
  </si>
  <si>
    <t>665-76-00476</t>
  </si>
  <si>
    <t>마장동고기집 청량리점</t>
  </si>
  <si>
    <t>2025-04-06</t>
  </si>
  <si>
    <t>2100</t>
  </si>
  <si>
    <t>00-993841840</t>
  </si>
  <si>
    <t>214-86-31917</t>
  </si>
  <si>
    <t>자판기(1)_코세스</t>
  </si>
  <si>
    <t>1900</t>
  </si>
  <si>
    <t>00-992138131</t>
  </si>
  <si>
    <t>829-82-00256</t>
  </si>
  <si>
    <t>한국보훈복지의료공단인천보훈병원</t>
  </si>
  <si>
    <t>2025-04-07</t>
  </si>
  <si>
    <t>6000</t>
  </si>
  <si>
    <t>00-927866475</t>
  </si>
  <si>
    <t>204-10-81604</t>
  </si>
  <si>
    <t>혜민약국</t>
  </si>
  <si>
    <t>2025-04-19</t>
  </si>
  <si>
    <t>2025-05-16</t>
  </si>
  <si>
    <t>1000</t>
  </si>
  <si>
    <t>00-909776395</t>
  </si>
  <si>
    <t>대표일반_KCP</t>
  </si>
  <si>
    <t>2025-07-14</t>
  </si>
  <si>
    <t>412604</t>
  </si>
  <si>
    <t>2025-07-28</t>
  </si>
  <si>
    <t>990</t>
  </si>
  <si>
    <t>00-992486449</t>
  </si>
  <si>
    <t>구글 유튜브 멤버십_TOSS</t>
  </si>
  <si>
    <t>2025-08-26</t>
  </si>
  <si>
    <t>4000</t>
  </si>
  <si>
    <t>2025-09-03</t>
  </si>
  <si>
    <t>83710</t>
  </si>
  <si>
    <t>00-972656128</t>
  </si>
  <si>
    <t>지자체세입금(온라인)</t>
  </si>
  <si>
    <t>2025-09-26</t>
  </si>
  <si>
    <t>184000</t>
  </si>
  <si>
    <t>00-973653405</t>
  </si>
  <si>
    <t>137-82-09745</t>
  </si>
  <si>
    <t>국제성모병원</t>
  </si>
  <si>
    <t>2025-10-17</t>
  </si>
  <si>
    <t>643315</t>
  </si>
  <si>
    <t>2025-11-03</t>
  </si>
  <si>
    <t>00-986278497</t>
  </si>
  <si>
    <t>220-81-15770</t>
  </si>
  <si>
    <t>㈜교보문고(상품권)_나이스</t>
  </si>
  <si>
    <t>2025-11-22</t>
  </si>
  <si>
    <t>107530</t>
  </si>
  <si>
    <t>00-972603898</t>
  </si>
  <si>
    <t>2025-11-23</t>
  </si>
  <si>
    <t>171640</t>
  </si>
  <si>
    <t>2025-11-25</t>
  </si>
  <si>
    <t>52010</t>
  </si>
  <si>
    <t>2025-12-01</t>
  </si>
  <si>
    <t>00-914435251</t>
  </si>
  <si>
    <t>2025-12-02</t>
  </si>
  <si>
    <t>135800</t>
  </si>
  <si>
    <t>2025-12-03</t>
  </si>
  <si>
    <t>2000000</t>
  </si>
  <si>
    <t>2025-12-09</t>
  </si>
  <si>
    <t>00-983528704</t>
  </si>
  <si>
    <t>175-16-00362</t>
  </si>
  <si>
    <t>콩세알한식</t>
  </si>
  <si>
    <t>2025-12-15</t>
  </si>
  <si>
    <t>900</t>
  </si>
  <si>
    <t>3800</t>
  </si>
  <si>
    <t>00-914868923</t>
  </si>
  <si>
    <t>155-03-02779</t>
  </si>
  <si>
    <t>씨유(CU) 국제성모병원2호점</t>
  </si>
  <si>
    <t>1100</t>
  </si>
  <si>
    <t>2025-12-16</t>
  </si>
  <si>
    <t>206300</t>
  </si>
  <si>
    <t>2025-12-19</t>
  </si>
  <si>
    <t>37300</t>
  </si>
  <si>
    <t>81-066-77106</t>
  </si>
  <si>
    <t>603-22-80426</t>
  </si>
  <si>
    <t>지에스더프레시송도파크자이점</t>
  </si>
  <si>
    <t>2025-12-20</t>
  </si>
  <si>
    <t>취소여부</t>
  </si>
  <si>
    <t>승인금액</t>
  </si>
  <si>
    <t>할부</t>
  </si>
  <si>
    <t>이용구분</t>
  </si>
  <si>
    <t>가맹점번호</t>
  </si>
  <si>
    <t>승인일자</t>
  </si>
  <si>
    <t>발급 기관 : 현대카드 (주)</t>
  </si>
  <si>
    <t>발급 일자 : 2025년 12월 26일</t>
  </si>
  <si>
    <t>24,970,543</t>
  </si>
  <si>
    <t>386 건</t>
  </si>
  <si>
    <t>본인</t>
  </si>
  <si>
    <t>44,000</t>
  </si>
  <si>
    <t>5***-****-****-150*</t>
  </si>
  <si>
    <t>2024.01.29</t>
  </si>
  <si>
    <t>4,500</t>
  </si>
  <si>
    <t>2024.02.01</t>
  </si>
  <si>
    <t>107-81-63829</t>
  </si>
  <si>
    <t xml:space="preserve">   2</t>
  </si>
  <si>
    <t>가족</t>
  </si>
  <si>
    <t>366,350</t>
  </si>
  <si>
    <t>코스트코코리아</t>
  </si>
  <si>
    <t>5***-****-****-310*</t>
  </si>
  <si>
    <t>2024.02.02</t>
  </si>
  <si>
    <t>38,500</t>
  </si>
  <si>
    <t>75,560</t>
  </si>
  <si>
    <t>2024.02.24</t>
  </si>
  <si>
    <t>101,540</t>
  </si>
  <si>
    <t>2024.02.27</t>
  </si>
  <si>
    <t xml:space="preserve">   4</t>
  </si>
  <si>
    <t>114,960</t>
  </si>
  <si>
    <t>2024.02.29</t>
  </si>
  <si>
    <t xml:space="preserve">   3</t>
  </si>
  <si>
    <t>206,020</t>
  </si>
  <si>
    <t>2024.03.21</t>
  </si>
  <si>
    <t>45,000</t>
  </si>
  <si>
    <t>2024.05.03</t>
  </si>
  <si>
    <t>32,494</t>
  </si>
  <si>
    <t>토스페이먼츠주식회사 - Temu_com</t>
  </si>
  <si>
    <t>2024.05.06</t>
  </si>
  <si>
    <t>34,000</t>
  </si>
  <si>
    <t>2024.05.07</t>
  </si>
  <si>
    <t>674-85-00676</t>
  </si>
  <si>
    <t>8,000</t>
  </si>
  <si>
    <t>다온공간븟</t>
  </si>
  <si>
    <t>2024.05.10</t>
  </si>
  <si>
    <t>43,120</t>
  </si>
  <si>
    <t>인천광역시주정차위반과태료</t>
  </si>
  <si>
    <t>53,900</t>
  </si>
  <si>
    <t>인천광역시전용차로통행위반</t>
  </si>
  <si>
    <t>42,160</t>
  </si>
  <si>
    <t>-50,000</t>
  </si>
  <si>
    <t>KCP - (주)자비스앤빌런즈</t>
  </si>
  <si>
    <t>2025.01.21</t>
  </si>
  <si>
    <t>50,000</t>
  </si>
  <si>
    <t>2024.05.11</t>
  </si>
  <si>
    <t>2024.05.13</t>
  </si>
  <si>
    <t>232-93-00384</t>
  </si>
  <si>
    <t>29,700</t>
  </si>
  <si>
    <t>2024.05.22</t>
  </si>
  <si>
    <t>607-33-54644</t>
  </si>
  <si>
    <t>70,900</t>
  </si>
  <si>
    <t>2024.05.23</t>
  </si>
  <si>
    <t>131-35-58225</t>
  </si>
  <si>
    <t>38,000</t>
  </si>
  <si>
    <t>옹진</t>
  </si>
  <si>
    <t>4,400</t>
  </si>
  <si>
    <t>76,000</t>
  </si>
  <si>
    <t>2024.05.24</t>
  </si>
  <si>
    <t>48,000</t>
  </si>
  <si>
    <t>2024.05.27</t>
  </si>
  <si>
    <t>2024.06.03</t>
  </si>
  <si>
    <t>2024.06.21</t>
  </si>
  <si>
    <t>2024.06.28</t>
  </si>
  <si>
    <t>36,100</t>
  </si>
  <si>
    <t>압구정성모안과</t>
  </si>
  <si>
    <t>2024.07.08</t>
  </si>
  <si>
    <t>108-22-62092</t>
  </si>
  <si>
    <t>53,400</t>
  </si>
  <si>
    <t>하이약국</t>
  </si>
  <si>
    <t>-56,200</t>
  </si>
  <si>
    <t>KCP - 쿠팡</t>
  </si>
  <si>
    <t>2024.07.28</t>
  </si>
  <si>
    <t>95,230</t>
  </si>
  <si>
    <t>18,180</t>
  </si>
  <si>
    <t>KCP - (주)우아한형제들</t>
  </si>
  <si>
    <t>2024.07.09</t>
  </si>
  <si>
    <t>4,000</t>
  </si>
  <si>
    <t>2024.07.15</t>
  </si>
  <si>
    <t>20,400</t>
  </si>
  <si>
    <t>47,950</t>
  </si>
  <si>
    <t>2024.07.17</t>
  </si>
  <si>
    <t>-2,050</t>
  </si>
  <si>
    <t>SSG.COM 청구할인</t>
  </si>
  <si>
    <t>41,000</t>
  </si>
  <si>
    <t>SSG</t>
  </si>
  <si>
    <t>10,000</t>
  </si>
  <si>
    <t>14,900</t>
  </si>
  <si>
    <t>한국정보통신 - 쿠팡</t>
  </si>
  <si>
    <t>29,720</t>
  </si>
  <si>
    <t>이마트연수점</t>
  </si>
  <si>
    <t>2024.07.19</t>
  </si>
  <si>
    <t>78,600</t>
  </si>
  <si>
    <t>26,324</t>
  </si>
  <si>
    <t>2024.07.20</t>
  </si>
  <si>
    <t>41,100</t>
  </si>
  <si>
    <t>2024.07.24</t>
  </si>
  <si>
    <t>43,200</t>
  </si>
  <si>
    <t>나이스 - 석원컴퍼니</t>
  </si>
  <si>
    <t>66,140</t>
  </si>
  <si>
    <t>2024.07.26</t>
  </si>
  <si>
    <t>112-13-18216</t>
  </si>
  <si>
    <t>10,100</t>
  </si>
  <si>
    <t>오케이찹쌀꽈배기</t>
  </si>
  <si>
    <t>2024.07.27</t>
  </si>
  <si>
    <t>-5,000</t>
  </si>
  <si>
    <t>이마트 M포인트사용</t>
  </si>
  <si>
    <t>2024.08.03</t>
  </si>
  <si>
    <t>110,620</t>
  </si>
  <si>
    <t>4,600</t>
  </si>
  <si>
    <t>17,900</t>
  </si>
  <si>
    <t>2024.08.04</t>
  </si>
  <si>
    <t>3,620</t>
  </si>
  <si>
    <t>2024.08.05</t>
  </si>
  <si>
    <t>94,294</t>
  </si>
  <si>
    <t>46,550</t>
  </si>
  <si>
    <t>2024.08.06</t>
  </si>
  <si>
    <t>13,290</t>
  </si>
  <si>
    <t>2024.08.08</t>
  </si>
  <si>
    <t>69,820</t>
  </si>
  <si>
    <t>2024.08.10</t>
  </si>
  <si>
    <t>19,500</t>
  </si>
  <si>
    <t>2024.08.12</t>
  </si>
  <si>
    <t>49,270</t>
  </si>
  <si>
    <t>2024.08.14</t>
  </si>
  <si>
    <t>131-20-81625</t>
  </si>
  <si>
    <t>행복한우리약국</t>
  </si>
  <si>
    <t>24,000</t>
  </si>
  <si>
    <t>2024.08.18</t>
  </si>
  <si>
    <t>25,550</t>
  </si>
  <si>
    <t>7,000</t>
  </si>
  <si>
    <t>2024.08.21</t>
  </si>
  <si>
    <t>41,310</t>
  </si>
  <si>
    <t>7,900</t>
  </si>
  <si>
    <t>44,010</t>
  </si>
  <si>
    <t>KCP - (주)홈앤쇼핑</t>
  </si>
  <si>
    <t>2024.08.22</t>
  </si>
  <si>
    <t>702-76-00417</t>
  </si>
  <si>
    <t>200,000</t>
  </si>
  <si>
    <t>24시연희동물의료센터</t>
  </si>
  <si>
    <t>2024.08.26</t>
  </si>
  <si>
    <t>95,150</t>
  </si>
  <si>
    <t>2024.08.27</t>
  </si>
  <si>
    <t>8,020</t>
  </si>
  <si>
    <t>2024.08.29</t>
  </si>
  <si>
    <t>10,090</t>
  </si>
  <si>
    <t>33,760</t>
  </si>
  <si>
    <t>2024.09.06</t>
  </si>
  <si>
    <t>613-24-62754</t>
  </si>
  <si>
    <t>20,000</t>
  </si>
  <si>
    <t>매반생면평촌역점</t>
  </si>
  <si>
    <t>2024.09.10</t>
  </si>
  <si>
    <t>844-22-01959</t>
  </si>
  <si>
    <t>1,600</t>
  </si>
  <si>
    <t>매머드익스프레스롯데마트연수점</t>
  </si>
  <si>
    <t>2024.09.11</t>
  </si>
  <si>
    <t>34,800</t>
  </si>
  <si>
    <t>2024.09.13</t>
  </si>
  <si>
    <t>230,980</t>
  </si>
  <si>
    <t>25,700</t>
  </si>
  <si>
    <t>2024.09.14</t>
  </si>
  <si>
    <t>143-85-02132</t>
  </si>
  <si>
    <t>7,600</t>
  </si>
  <si>
    <t>부자송산휴게소</t>
  </si>
  <si>
    <t>8,100</t>
  </si>
  <si>
    <t>314-82-12717</t>
  </si>
  <si>
    <t>대한민국전몰군경유족회</t>
  </si>
  <si>
    <t>312-85-00176</t>
  </si>
  <si>
    <t>18,000</t>
  </si>
  <si>
    <t>보림천안삼거리휴게소</t>
  </si>
  <si>
    <t>79,000</t>
  </si>
  <si>
    <t>2024.09.17</t>
  </si>
  <si>
    <t>8,980</t>
  </si>
  <si>
    <t>1,800</t>
  </si>
  <si>
    <t>웰빙홈마트연수점</t>
  </si>
  <si>
    <t>2024.09.25</t>
  </si>
  <si>
    <t>3,880</t>
  </si>
  <si>
    <t>12,690</t>
  </si>
  <si>
    <t>55,870</t>
  </si>
  <si>
    <t>2024.09.27</t>
  </si>
  <si>
    <t>131-31-72781</t>
  </si>
  <si>
    <t>14,000</t>
  </si>
  <si>
    <t>장호덕손만두</t>
  </si>
  <si>
    <t>2024.09.28</t>
  </si>
  <si>
    <t>402-40-91251</t>
  </si>
  <si>
    <t>24,500</t>
  </si>
  <si>
    <t>다이소인천동춘점</t>
  </si>
  <si>
    <t>46,400</t>
  </si>
  <si>
    <t>2024.09.30</t>
  </si>
  <si>
    <t>6,610</t>
  </si>
  <si>
    <t>57,920</t>
  </si>
  <si>
    <t>9,700</t>
  </si>
  <si>
    <t>2024.10.01</t>
  </si>
  <si>
    <t>43,000</t>
  </si>
  <si>
    <t>2024.10.06</t>
  </si>
  <si>
    <t>55,280</t>
  </si>
  <si>
    <t>2024.10.07</t>
  </si>
  <si>
    <t>23,880</t>
  </si>
  <si>
    <t>809-81-01574</t>
  </si>
  <si>
    <t>10,900</t>
  </si>
  <si>
    <t>올리브영인천연수점</t>
  </si>
  <si>
    <t>2024.10.08</t>
  </si>
  <si>
    <t>11,000</t>
  </si>
  <si>
    <t>2024.10.09</t>
  </si>
  <si>
    <t>246-57-00027</t>
  </si>
  <si>
    <t>2,800</t>
  </si>
  <si>
    <t>빽다방베이커리인천동춘점</t>
  </si>
  <si>
    <t>5,800</t>
  </si>
  <si>
    <t>42,790</t>
  </si>
  <si>
    <t>2024.10.10</t>
  </si>
  <si>
    <t>한국정보통신 - SK매직서비스(주)</t>
  </si>
  <si>
    <t>105-85-42199</t>
  </si>
  <si>
    <t>6,200</t>
  </si>
  <si>
    <t>대신기업삼국유사군위지점</t>
  </si>
  <si>
    <t>2024.10.11</t>
  </si>
  <si>
    <t>2024.10.17</t>
  </si>
  <si>
    <t>6,980</t>
  </si>
  <si>
    <t>15,270</t>
  </si>
  <si>
    <t>2024.10.21</t>
  </si>
  <si>
    <t>78,426</t>
  </si>
  <si>
    <t>22,860</t>
  </si>
  <si>
    <t>#한국전력공사/저압인터 10월-전기료</t>
  </si>
  <si>
    <t>2024.10.25</t>
  </si>
  <si>
    <t>40,120</t>
  </si>
  <si>
    <t>2024.10.29</t>
  </si>
  <si>
    <t>2024.10.31</t>
  </si>
  <si>
    <t>21,400</t>
  </si>
  <si>
    <t>77,470</t>
  </si>
  <si>
    <t>2024.11.01</t>
  </si>
  <si>
    <t>8,800</t>
  </si>
  <si>
    <t>17,030</t>
  </si>
  <si>
    <t>14,500</t>
  </si>
  <si>
    <t>2024.11.04</t>
  </si>
  <si>
    <t>18,200</t>
  </si>
  <si>
    <t>20,800</t>
  </si>
  <si>
    <t>2024.11.05</t>
  </si>
  <si>
    <t>73,030</t>
  </si>
  <si>
    <t>48,510</t>
  </si>
  <si>
    <t>2024.11.07</t>
  </si>
  <si>
    <t>42,169</t>
  </si>
  <si>
    <t>-12,000</t>
  </si>
  <si>
    <t>2024.11.20</t>
  </si>
  <si>
    <t>12,000</t>
  </si>
  <si>
    <t>2024.11.14</t>
  </si>
  <si>
    <t>284-16-01710</t>
  </si>
  <si>
    <t>6,900</t>
  </si>
  <si>
    <t>크린토피아동춘건영점</t>
  </si>
  <si>
    <t>2024.11.15</t>
  </si>
  <si>
    <t>13,040</t>
  </si>
  <si>
    <t>44,250</t>
  </si>
  <si>
    <t>2024.11.18</t>
  </si>
  <si>
    <t>54,230</t>
  </si>
  <si>
    <t>2024.11.25</t>
  </si>
  <si>
    <t>29,120</t>
  </si>
  <si>
    <t>2024.11.26</t>
  </si>
  <si>
    <t>213-86-15419</t>
  </si>
  <si>
    <t>203,890</t>
  </si>
  <si>
    <t>131-15-51466</t>
  </si>
  <si>
    <t>아주목욕탕</t>
  </si>
  <si>
    <t>2024.12.01</t>
  </si>
  <si>
    <t>8,850</t>
  </si>
  <si>
    <t>2024.12.02</t>
  </si>
  <si>
    <t>57,760</t>
  </si>
  <si>
    <t>#한국전력공사 12월-전기료</t>
  </si>
  <si>
    <t>1,000</t>
  </si>
  <si>
    <t>2024.12.03</t>
  </si>
  <si>
    <t>29,460</t>
  </si>
  <si>
    <t>53,750</t>
  </si>
  <si>
    <t>삼천리도시가스자동이체</t>
  </si>
  <si>
    <t>78,304</t>
  </si>
  <si>
    <t>2024.12.04</t>
  </si>
  <si>
    <t>-17,500</t>
  </si>
  <si>
    <t>2024.12.07</t>
  </si>
  <si>
    <t>17,500</t>
  </si>
  <si>
    <t>2024.12.05</t>
  </si>
  <si>
    <t>15,420</t>
  </si>
  <si>
    <t>2024.12.06</t>
  </si>
  <si>
    <t>48,300</t>
  </si>
  <si>
    <t>2024.12.19</t>
  </si>
  <si>
    <t>56,540</t>
  </si>
  <si>
    <t>2024.12.22</t>
  </si>
  <si>
    <t>165,520</t>
  </si>
  <si>
    <t>2024.12.24</t>
  </si>
  <si>
    <t>15,800</t>
  </si>
  <si>
    <t>2024.12.30</t>
  </si>
  <si>
    <t>19,300</t>
  </si>
  <si>
    <t>2024.12.31</t>
  </si>
  <si>
    <t>58,530</t>
  </si>
  <si>
    <t>232,560</t>
  </si>
  <si>
    <t>2025.01.02</t>
  </si>
  <si>
    <t>220-81-83676</t>
  </si>
  <si>
    <t>-15,710</t>
  </si>
  <si>
    <t>2025.01.15</t>
  </si>
  <si>
    <t>15,710</t>
  </si>
  <si>
    <t>2025.01.09</t>
  </si>
  <si>
    <t>166,350</t>
  </si>
  <si>
    <t>2025.01.10</t>
  </si>
  <si>
    <t>39,563</t>
  </si>
  <si>
    <t>2025.01.11</t>
  </si>
  <si>
    <t>53,910</t>
  </si>
  <si>
    <t>2025.01.19</t>
  </si>
  <si>
    <t>326,650</t>
  </si>
  <si>
    <t>2025.01.20</t>
  </si>
  <si>
    <t>166,560</t>
  </si>
  <si>
    <t>273-56-00454</t>
  </si>
  <si>
    <t>2,200</t>
  </si>
  <si>
    <t>씨유동춘대동점</t>
  </si>
  <si>
    <t>2025.01.25</t>
  </si>
  <si>
    <t>36,980</t>
  </si>
  <si>
    <t>2025.01.28</t>
  </si>
  <si>
    <t>61,640</t>
  </si>
  <si>
    <t>#한국전력공사 01월-전기료</t>
  </si>
  <si>
    <t>2025.01.31</t>
  </si>
  <si>
    <t>코스트코연회비</t>
  </si>
  <si>
    <t>2025.02.01</t>
  </si>
  <si>
    <t>9,500</t>
  </si>
  <si>
    <t>2025.02.09</t>
  </si>
  <si>
    <t>238,880</t>
  </si>
  <si>
    <t>2025.02.13</t>
  </si>
  <si>
    <t>14,400</t>
  </si>
  <si>
    <t>2025.02.18</t>
  </si>
  <si>
    <t>47,160</t>
  </si>
  <si>
    <t>2025.02.19</t>
  </si>
  <si>
    <t>14,200</t>
  </si>
  <si>
    <t>2025.02.20</t>
  </si>
  <si>
    <t>50,966</t>
  </si>
  <si>
    <t>2025.02.21</t>
  </si>
  <si>
    <t>40,780</t>
  </si>
  <si>
    <t>2025.02.22</t>
  </si>
  <si>
    <t>51,180</t>
  </si>
  <si>
    <t>2025.02.23</t>
  </si>
  <si>
    <t>166,300</t>
  </si>
  <si>
    <t>2025.02.24</t>
  </si>
  <si>
    <t>12,850</t>
  </si>
  <si>
    <t>2025.02.25</t>
  </si>
  <si>
    <t>22,400</t>
  </si>
  <si>
    <t>2025.02.26</t>
  </si>
  <si>
    <t>65,260</t>
  </si>
  <si>
    <t>#한국전력공사 02월-전기료</t>
  </si>
  <si>
    <t>2025.02.28</t>
  </si>
  <si>
    <t>30,400</t>
  </si>
  <si>
    <t>2025.03.06</t>
  </si>
  <si>
    <t>189,060</t>
  </si>
  <si>
    <t>12,300</t>
  </si>
  <si>
    <t>2025.03.11</t>
  </si>
  <si>
    <t>59,700</t>
  </si>
  <si>
    <t>2025.03.12</t>
  </si>
  <si>
    <t>235,560</t>
  </si>
  <si>
    <t>2025.03.13</t>
  </si>
  <si>
    <t>-1,740</t>
  </si>
  <si>
    <t>이마트24 M포인트사용</t>
  </si>
  <si>
    <t>2025.03.16</t>
  </si>
  <si>
    <t>8,700</t>
  </si>
  <si>
    <t>118-85-05185</t>
  </si>
  <si>
    <t>-200</t>
  </si>
  <si>
    <t>세븐일레븐 M포인트 사용</t>
  </si>
  <si>
    <t>2025.03.19</t>
  </si>
  <si>
    <t>세븐일레븐한양대타운점</t>
  </si>
  <si>
    <t>5,000</t>
  </si>
  <si>
    <t>2025.03.21</t>
  </si>
  <si>
    <t>58,220</t>
  </si>
  <si>
    <t>39,680</t>
  </si>
  <si>
    <t>2025.03.24</t>
  </si>
  <si>
    <t>168,770</t>
  </si>
  <si>
    <t>2025.03.25</t>
  </si>
  <si>
    <t>77,518</t>
  </si>
  <si>
    <t>2025.03.27</t>
  </si>
  <si>
    <t>123,590</t>
  </si>
  <si>
    <t>2025.03.29</t>
  </si>
  <si>
    <t>13,000</t>
  </si>
  <si>
    <t>17,800</t>
  </si>
  <si>
    <t>53,360</t>
  </si>
  <si>
    <t>#한국전력공사 03월-전기료</t>
  </si>
  <si>
    <t>2025.03.31</t>
  </si>
  <si>
    <t>9,000</t>
  </si>
  <si>
    <t>2025.04.01</t>
  </si>
  <si>
    <t>2,670</t>
  </si>
  <si>
    <t xml:space="preserve">   6</t>
  </si>
  <si>
    <t>3,869,782</t>
  </si>
  <si>
    <t>부가가치세　　　　　2504</t>
  </si>
  <si>
    <t>2025.04.02</t>
  </si>
  <si>
    <t>13,540</t>
  </si>
  <si>
    <t>2025.04.03</t>
  </si>
  <si>
    <t>149,310</t>
  </si>
  <si>
    <t>2025.04.07</t>
  </si>
  <si>
    <t>2025.04.08</t>
  </si>
  <si>
    <t>21,000</t>
  </si>
  <si>
    <t>2025.04.09</t>
  </si>
  <si>
    <t>6,000</t>
  </si>
  <si>
    <t>2025.04.10</t>
  </si>
  <si>
    <t>4,980</t>
  </si>
  <si>
    <t>42,500</t>
  </si>
  <si>
    <t>2025.04.12</t>
  </si>
  <si>
    <t>55,000</t>
  </si>
  <si>
    <t>2025.04.14</t>
  </si>
  <si>
    <t>59,040</t>
  </si>
  <si>
    <t>2025.04.15</t>
  </si>
  <si>
    <t>748-95-00016</t>
  </si>
  <si>
    <t>48,700</t>
  </si>
  <si>
    <t>이상대내과의원</t>
  </si>
  <si>
    <t>2025.04.16</t>
  </si>
  <si>
    <t>5,200</t>
  </si>
  <si>
    <t>2025.04.18</t>
  </si>
  <si>
    <t>43,900</t>
  </si>
  <si>
    <t>6,450</t>
  </si>
  <si>
    <t>2025.04.20</t>
  </si>
  <si>
    <t>706-72-00575</t>
  </si>
  <si>
    <t>8,280</t>
  </si>
  <si>
    <t>견생냥품24시무인펫샵인천동춘동점</t>
  </si>
  <si>
    <t>2025.04.21</t>
  </si>
  <si>
    <t>15,000</t>
  </si>
  <si>
    <t>2025.04.22</t>
  </si>
  <si>
    <t>154,410</t>
  </si>
  <si>
    <t>2025.04.24</t>
  </si>
  <si>
    <t>17,960</t>
  </si>
  <si>
    <t>홈플러스간석점</t>
  </si>
  <si>
    <t>2025.04.29</t>
  </si>
  <si>
    <t>53,880</t>
  </si>
  <si>
    <t>#한국전력공사 04월-전기료</t>
  </si>
  <si>
    <t>2025.04.30</t>
  </si>
  <si>
    <t>75,860</t>
  </si>
  <si>
    <t>2025.05.02</t>
  </si>
  <si>
    <t>6,500</t>
  </si>
  <si>
    <t>2025.05.03</t>
  </si>
  <si>
    <t>42,439</t>
  </si>
  <si>
    <t>2025.05.05</t>
  </si>
  <si>
    <t>6,800</t>
  </si>
  <si>
    <t>2025.05.09</t>
  </si>
  <si>
    <t>2,000</t>
  </si>
  <si>
    <t>5,500</t>
  </si>
  <si>
    <t>124-81-58485</t>
  </si>
  <si>
    <t>86,000</t>
  </si>
  <si>
    <t>삼성전자서비스디지털남인천센터</t>
  </si>
  <si>
    <t>30,200</t>
  </si>
  <si>
    <t>2025.05.10</t>
  </si>
  <si>
    <t>39,900</t>
  </si>
  <si>
    <t>KCP - (주)엔에스쇼핑</t>
  </si>
  <si>
    <t>2025.05.11</t>
  </si>
  <si>
    <t>23,600</t>
  </si>
  <si>
    <t>76,270</t>
  </si>
  <si>
    <t>2025.05.13</t>
  </si>
  <si>
    <t>217-81-14493</t>
  </si>
  <si>
    <t>28,691</t>
  </si>
  <si>
    <t>(주) 스마트로 - 스마트로</t>
  </si>
  <si>
    <t>2025.05.14</t>
  </si>
  <si>
    <t>800,000</t>
  </si>
  <si>
    <t>나눔과어울림</t>
  </si>
  <si>
    <t>2025.05.16</t>
  </si>
  <si>
    <t>15,670</t>
  </si>
  <si>
    <t>841-81-00943</t>
  </si>
  <si>
    <t>33,000</t>
  </si>
  <si>
    <t>동춘사골순대국</t>
  </si>
  <si>
    <t>2025.05.17</t>
  </si>
  <si>
    <t>61,020</t>
  </si>
  <si>
    <t>2025.05.18</t>
  </si>
  <si>
    <t>332-32-00820</t>
  </si>
  <si>
    <t>27,000</t>
  </si>
  <si>
    <t>24시이사반점</t>
  </si>
  <si>
    <t>2025.05.20</t>
  </si>
  <si>
    <t>132,000</t>
  </si>
  <si>
    <t>2025.05.21</t>
  </si>
  <si>
    <t>2025.05.22</t>
  </si>
  <si>
    <t>2,300</t>
  </si>
  <si>
    <t>146-93-01419</t>
  </si>
  <si>
    <t>착한건어물</t>
  </si>
  <si>
    <t>130-91-17061</t>
  </si>
  <si>
    <t>수이비인후과</t>
  </si>
  <si>
    <t>2025.05.23</t>
  </si>
  <si>
    <t>1,500</t>
  </si>
  <si>
    <t>2025.05.24</t>
  </si>
  <si>
    <t>39,870</t>
  </si>
  <si>
    <t>2025.05.25</t>
  </si>
  <si>
    <t>32,800</t>
  </si>
  <si>
    <t>현대아울렛송도점</t>
  </si>
  <si>
    <t>2025.05.27</t>
  </si>
  <si>
    <t>168,760</t>
  </si>
  <si>
    <t>2025.05.29</t>
  </si>
  <si>
    <t>16,000</t>
  </si>
  <si>
    <t>2025.05.30</t>
  </si>
  <si>
    <t>2025.05.31</t>
  </si>
  <si>
    <t>48,260</t>
  </si>
  <si>
    <t>2025.06.02</t>
  </si>
  <si>
    <t>55,170</t>
  </si>
  <si>
    <t>#한국전력공사 06월-전기료</t>
  </si>
  <si>
    <t>28,600</t>
  </si>
  <si>
    <t>2025.06.03</t>
  </si>
  <si>
    <t>353,200</t>
  </si>
  <si>
    <t>2025.06.04</t>
  </si>
  <si>
    <t>71,900</t>
  </si>
  <si>
    <t>351-85-02112</t>
  </si>
  <si>
    <t>89,700</t>
  </si>
  <si>
    <t>이랜드이츠리미니연수스퀘어원점</t>
  </si>
  <si>
    <t>25,900</t>
  </si>
  <si>
    <t>2025.06.05</t>
  </si>
  <si>
    <t xml:space="preserve">   5</t>
  </si>
  <si>
    <t>197,100</t>
  </si>
  <si>
    <t>토스페이먼츠주식회사 - (주)홈앤쇼핑</t>
  </si>
  <si>
    <t>2025.06.08</t>
  </si>
  <si>
    <t>35,480</t>
  </si>
  <si>
    <t>2025.06.15</t>
  </si>
  <si>
    <t>10,650</t>
  </si>
  <si>
    <t>2025.06.16</t>
  </si>
  <si>
    <t>23,500</t>
  </si>
  <si>
    <t>2025.06.17</t>
  </si>
  <si>
    <t>15,500</t>
  </si>
  <si>
    <t>2025.06.18</t>
  </si>
  <si>
    <t>2025.06.19</t>
  </si>
  <si>
    <t>114,860</t>
  </si>
  <si>
    <t>53,660</t>
  </si>
  <si>
    <t>2025.06.21</t>
  </si>
  <si>
    <t>2025.06.23</t>
  </si>
  <si>
    <t>25,470</t>
  </si>
  <si>
    <t>45,400</t>
  </si>
  <si>
    <t>-4,800</t>
  </si>
  <si>
    <t>2025.06.26</t>
  </si>
  <si>
    <t>45,880</t>
  </si>
  <si>
    <t>2025.06.24</t>
  </si>
  <si>
    <t>186,400</t>
  </si>
  <si>
    <t>2025.06.25</t>
  </si>
  <si>
    <t>2,500</t>
  </si>
  <si>
    <t>49,320</t>
  </si>
  <si>
    <t>다이소아성산업</t>
  </si>
  <si>
    <t>2025.06.27</t>
  </si>
  <si>
    <t>49,730</t>
  </si>
  <si>
    <t>2025.06.30</t>
  </si>
  <si>
    <t>11,800</t>
  </si>
  <si>
    <t>2025.07.03</t>
  </si>
  <si>
    <t>30,370</t>
  </si>
  <si>
    <t>21,760</t>
  </si>
  <si>
    <t>2025.07.06</t>
  </si>
  <si>
    <t>39,510</t>
  </si>
  <si>
    <t>나이스 - (주)우아한형제들</t>
  </si>
  <si>
    <t>2025.07.10</t>
  </si>
  <si>
    <t>57,488</t>
  </si>
  <si>
    <t>2025.07.11</t>
  </si>
  <si>
    <t>59,790</t>
  </si>
  <si>
    <t>2025.07.12</t>
  </si>
  <si>
    <t>178,210</t>
  </si>
  <si>
    <t>2025.07.15</t>
  </si>
  <si>
    <t>8,500</t>
  </si>
  <si>
    <t>2025.07.16</t>
  </si>
  <si>
    <t>25,000</t>
  </si>
  <si>
    <t>36,890</t>
  </si>
  <si>
    <t>2025.07.17</t>
  </si>
  <si>
    <t>2025.07.18</t>
  </si>
  <si>
    <t>2025.07.20</t>
  </si>
  <si>
    <t>20,600</t>
  </si>
  <si>
    <t>2025.07.22</t>
  </si>
  <si>
    <t>41,140</t>
  </si>
  <si>
    <t>2025.07.25</t>
  </si>
  <si>
    <t>176,250</t>
  </si>
  <si>
    <t>21,240</t>
  </si>
  <si>
    <t>2025.07.26</t>
  </si>
  <si>
    <t>30,000</t>
  </si>
  <si>
    <t>2025.07.27</t>
  </si>
  <si>
    <t>10,500</t>
  </si>
  <si>
    <t>2025.07.28</t>
  </si>
  <si>
    <t>66,000</t>
  </si>
  <si>
    <t>13,400</t>
  </si>
  <si>
    <t>2025.07.30</t>
  </si>
  <si>
    <t>8,900</t>
  </si>
  <si>
    <t>21,900</t>
  </si>
  <si>
    <t>2025.07.31</t>
  </si>
  <si>
    <t>56,470</t>
  </si>
  <si>
    <t>#한국전력공사 07월-전기료</t>
  </si>
  <si>
    <t>70,030</t>
  </si>
  <si>
    <t>2025.08.02</t>
  </si>
  <si>
    <t>36,420</t>
  </si>
  <si>
    <t>2025.08.09</t>
  </si>
  <si>
    <t>24,890</t>
  </si>
  <si>
    <t>28,410</t>
  </si>
  <si>
    <t>2025.08.10</t>
  </si>
  <si>
    <t>21,460</t>
  </si>
  <si>
    <t>2025.08.15</t>
  </si>
  <si>
    <t>(주)이니시스 - 에스케이스토아(주)</t>
  </si>
  <si>
    <t>2025.08.17</t>
  </si>
  <si>
    <t>339-86-03802</t>
  </si>
  <si>
    <t>48,778</t>
  </si>
  <si>
    <t>주식회사플래티넘페이먼츠</t>
  </si>
  <si>
    <t>2025.08.18</t>
  </si>
  <si>
    <t>6,950</t>
  </si>
  <si>
    <t>2025.08.19</t>
  </si>
  <si>
    <t>6,490</t>
  </si>
  <si>
    <t>2025.08.22</t>
  </si>
  <si>
    <t>43,950</t>
  </si>
  <si>
    <t>2025.08.24</t>
  </si>
  <si>
    <t>52,150</t>
  </si>
  <si>
    <t>2025.08.25</t>
  </si>
  <si>
    <t>33,500</t>
  </si>
  <si>
    <t>48,900</t>
  </si>
  <si>
    <t>181,110</t>
  </si>
  <si>
    <t>2025.08.26</t>
  </si>
  <si>
    <t>41,080</t>
  </si>
  <si>
    <t>2025.08.27</t>
  </si>
  <si>
    <t>25,300</t>
  </si>
  <si>
    <t>2025.08.28</t>
  </si>
  <si>
    <t>66,430</t>
  </si>
  <si>
    <t>#한국전력공사 09월-전기료</t>
  </si>
  <si>
    <t>2025.09.01</t>
  </si>
  <si>
    <t>37,720</t>
  </si>
  <si>
    <t>2025.09.03</t>
  </si>
  <si>
    <t>71,220</t>
  </si>
  <si>
    <t>2025.09.06</t>
  </si>
  <si>
    <t>2025.09.10</t>
  </si>
  <si>
    <t>19,980</t>
  </si>
  <si>
    <t>2025.09.11</t>
  </si>
  <si>
    <t>185,280</t>
  </si>
  <si>
    <t>2025.09.12</t>
  </si>
  <si>
    <t>10,760</t>
  </si>
  <si>
    <t>2025.09.17</t>
  </si>
  <si>
    <t>131-15-44612</t>
  </si>
  <si>
    <t>80,000</t>
  </si>
  <si>
    <t>가위전설</t>
  </si>
  <si>
    <t>372-16-02622</t>
  </si>
  <si>
    <t>몽실몽실</t>
  </si>
  <si>
    <t>2025.09.19</t>
  </si>
  <si>
    <t>10,700</t>
  </si>
  <si>
    <t>2025.09.21</t>
  </si>
  <si>
    <t>51,860</t>
  </si>
  <si>
    <t>182,630</t>
  </si>
  <si>
    <t>2025.09.24</t>
  </si>
  <si>
    <t>9,440</t>
  </si>
  <si>
    <t>2025.09.25</t>
  </si>
  <si>
    <t>833-85-01667</t>
  </si>
  <si>
    <t>18,800</t>
  </si>
  <si>
    <t>투썸송도동북아무역센터점</t>
  </si>
  <si>
    <t>2025.09.28</t>
  </si>
  <si>
    <t>67,260</t>
  </si>
  <si>
    <t>2025.09.30</t>
  </si>
  <si>
    <t>260-09-01716</t>
  </si>
  <si>
    <t>카페스마일</t>
  </si>
  <si>
    <t>2025.10.01</t>
  </si>
  <si>
    <t>14,880</t>
  </si>
  <si>
    <t>2025.10.02</t>
  </si>
  <si>
    <t>45,260</t>
  </si>
  <si>
    <t>2025.10.03</t>
  </si>
  <si>
    <t>9,800</t>
  </si>
  <si>
    <t>2025.10.04</t>
  </si>
  <si>
    <t>58,090</t>
  </si>
  <si>
    <t>3,950</t>
  </si>
  <si>
    <t>2025.10.12</t>
  </si>
  <si>
    <t>38,340</t>
  </si>
  <si>
    <t>16,380</t>
  </si>
  <si>
    <t>2025.10.13</t>
  </si>
  <si>
    <t>16,180</t>
  </si>
  <si>
    <t>2025.10.15</t>
  </si>
  <si>
    <t>57,010</t>
  </si>
  <si>
    <t>2025.10.20</t>
  </si>
  <si>
    <t>29,800</t>
  </si>
  <si>
    <t>2025.10.22</t>
  </si>
  <si>
    <t>7,500</t>
  </si>
  <si>
    <t>미스터얼리</t>
  </si>
  <si>
    <t>2025.10.23</t>
  </si>
  <si>
    <t>38,630</t>
  </si>
  <si>
    <t>2025.10.26</t>
  </si>
  <si>
    <t>186,480</t>
  </si>
  <si>
    <t>2025.10.27</t>
  </si>
  <si>
    <t>29,960</t>
  </si>
  <si>
    <t>2025.10.28</t>
  </si>
  <si>
    <t>279-15-02419</t>
  </si>
  <si>
    <t>메고지고떡창고공덕역점</t>
  </si>
  <si>
    <t>2025.10.29</t>
  </si>
  <si>
    <t>42,820</t>
  </si>
  <si>
    <t>#한국전력공사 10월-전기료</t>
  </si>
  <si>
    <t>2025.10.31</t>
  </si>
  <si>
    <t>2025.11.02</t>
  </si>
  <si>
    <t>-210,700</t>
  </si>
  <si>
    <t>2025.11.01</t>
  </si>
  <si>
    <t>210,700</t>
  </si>
  <si>
    <t>55,900</t>
  </si>
  <si>
    <t>68,680</t>
  </si>
  <si>
    <t xml:space="preserve">  12</t>
  </si>
  <si>
    <t>4,433,687</t>
  </si>
  <si>
    <t>인천광역시그외수입　　　　</t>
  </si>
  <si>
    <t>2025.11.03</t>
  </si>
  <si>
    <t>45,010</t>
  </si>
  <si>
    <t>29,900</t>
  </si>
  <si>
    <t>2025.11.04</t>
  </si>
  <si>
    <t>-68,400</t>
  </si>
  <si>
    <t>2025.11.10</t>
  </si>
  <si>
    <t>68,400</t>
  </si>
  <si>
    <t>2025.11.06</t>
  </si>
  <si>
    <t>51,990</t>
  </si>
  <si>
    <t>107-86-90485</t>
  </si>
  <si>
    <t>마이쇼퍼케어</t>
  </si>
  <si>
    <t>2025.11.08</t>
  </si>
  <si>
    <t>14,920</t>
  </si>
  <si>
    <t>2025.11.09</t>
  </si>
  <si>
    <t>63,960</t>
  </si>
  <si>
    <t>29,270</t>
  </si>
  <si>
    <t>2025.11.11</t>
  </si>
  <si>
    <t>22,000</t>
  </si>
  <si>
    <t>2025.11.13</t>
  </si>
  <si>
    <t>38,950</t>
  </si>
  <si>
    <t>2025.11.15</t>
  </si>
  <si>
    <t>5,440</t>
  </si>
  <si>
    <t>332-90-01979</t>
  </si>
  <si>
    <t>58,000</t>
  </si>
  <si>
    <t>공주상회</t>
  </si>
  <si>
    <t>2025.12.06</t>
  </si>
  <si>
    <t>관계</t>
  </si>
  <si>
    <t>이용금액</t>
  </si>
  <si>
    <t>이용일</t>
  </si>
  <si>
    <t>(단위 : 원)</t>
  </si>
  <si>
    <t>이용 내역</t>
  </si>
  <si>
    <t>회원 정보 : 김*식 (610623)</t>
  </si>
  <si>
    <t>기준 일자 : 2021년 01월 01일 ~ 2025년 12월 26일</t>
  </si>
  <si>
    <t>현대카드 이용내역</t>
  </si>
  <si>
    <t>하나카드</t>
    <phoneticPr fontId="35" type="noConversion"/>
  </si>
  <si>
    <t>현대카드</t>
    <phoneticPr fontId="35" type="noConversion"/>
  </si>
  <si>
    <t>할부</t>
    <phoneticPr fontId="35" type="noConversion"/>
  </si>
  <si>
    <t>리볼빙신판</t>
    <phoneticPr fontId="35" type="noConversion"/>
  </si>
  <si>
    <t>면세</t>
    <phoneticPr fontId="35" type="noConversion"/>
  </si>
  <si>
    <t>현금서비스</t>
    <phoneticPr fontId="35" type="noConversion"/>
  </si>
  <si>
    <t>폐업</t>
    <phoneticPr fontId="35" type="noConversion"/>
  </si>
  <si>
    <t>체크</t>
    <phoneticPr fontId="35" type="noConversion"/>
  </si>
  <si>
    <t>일반</t>
    <phoneticPr fontId="35" type="noConversion"/>
  </si>
  <si>
    <t>일시불</t>
    <phoneticPr fontId="35" type="noConversion"/>
  </si>
  <si>
    <t>신한카드</t>
    <phoneticPr fontId="35" type="noConversion"/>
  </si>
  <si>
    <t>정상</t>
    <phoneticPr fontId="35" type="noConversion"/>
  </si>
  <si>
    <t>가맹점
사업자번호</t>
  </si>
  <si>
    <t>승인번호</t>
  </si>
  <si>
    <t>할인금액</t>
  </si>
  <si>
    <t>청구회차</t>
  </si>
  <si>
    <t>할부기간</t>
  </si>
  <si>
    <t>승인시간</t>
  </si>
  <si>
    <t>매출일</t>
  </si>
  <si>
    <t>청구일</t>
  </si>
  <si>
    <t>순번</t>
  </si>
  <si>
    <t>국민카드</t>
    <phoneticPr fontId="35" type="noConversion"/>
  </si>
  <si>
    <t>본인</t>
    <phoneticPr fontId="18" type="noConversion"/>
  </si>
  <si>
    <t>가족</t>
    <phoneticPr fontId="18" type="noConversion"/>
  </si>
  <si>
    <t>국내승인</t>
    <phoneticPr fontId="18" type="noConversion"/>
  </si>
  <si>
    <t>의무간이</t>
    <phoneticPr fontId="18" type="noConversion"/>
  </si>
  <si>
    <t>마이너스</t>
    <phoneticPr fontId="18" type="noConversion"/>
  </si>
  <si>
    <t>취소</t>
    <phoneticPr fontId="18" type="noConversion"/>
  </si>
  <si>
    <t>Y</t>
    <phoneticPr fontId="18" type="noConversion"/>
  </si>
  <si>
    <t>플러스</t>
    <phoneticPr fontId="18" type="noConversion"/>
  </si>
  <si>
    <t>취소여부가 "Y"일 경우 플러스로 출력</t>
    <phoneticPr fontId="18" type="noConversion"/>
  </si>
  <si>
    <t>주민등록번호</t>
    <phoneticPr fontId="18" type="noConversion"/>
  </si>
  <si>
    <t>성명</t>
    <phoneticPr fontId="18" type="noConversion"/>
  </si>
  <si>
    <t>이메일</t>
    <phoneticPr fontId="18" type="noConversion"/>
  </si>
  <si>
    <t>시작일</t>
    <phoneticPr fontId="18" type="noConversion"/>
  </si>
  <si>
    <t>종료일</t>
    <phoneticPr fontId="18" type="noConversion"/>
  </si>
  <si>
    <t>카드번호</t>
    <phoneticPr fontId="18" type="noConversion"/>
  </si>
  <si>
    <t>카드사</t>
  </si>
  <si>
    <t>카드구분</t>
    <phoneticPr fontId="18" type="noConversion"/>
  </si>
  <si>
    <t>현대카드</t>
  </si>
  <si>
    <t>5239-3000-2714-1502</t>
  </si>
  <si>
    <t>5239-30**-****-****</t>
  </si>
  <si>
    <t>신한카드</t>
  </si>
  <si>
    <t>4619-5410-7354-8347</t>
  </si>
  <si>
    <t>3569-0801-1441-9368</t>
  </si>
  <si>
    <t>하나카드</t>
  </si>
  <si>
    <t>5197-1800-0225-6784</t>
  </si>
  <si>
    <t>국민카드</t>
  </si>
  <si>
    <t>9436-4****-****-3077</t>
  </si>
  <si>
    <t>5439-8****-****-9168</t>
  </si>
  <si>
    <t>사용구분</t>
    <phoneticPr fontId="18" type="noConversion"/>
  </si>
  <si>
    <t>파산신청개인정보</t>
  </si>
  <si>
    <t>연락처</t>
    <phoneticPr fontId="18" type="noConversion"/>
  </si>
  <si>
    <t>신청인</t>
    <phoneticPr fontId="18" type="noConversion"/>
  </si>
  <si>
    <t>등록일시</t>
    <phoneticPr fontId="18" type="noConversion"/>
  </si>
  <si>
    <t>수정일시</t>
    <phoneticPr fontId="18" type="noConversion"/>
  </si>
  <si>
    <t>카드</t>
    <phoneticPr fontId="18" type="noConversion"/>
  </si>
  <si>
    <t>거래금액</t>
    <phoneticPr fontId="18" type="noConversion"/>
  </si>
  <si>
    <t>할부개월</t>
    <phoneticPr fontId="18" type="noConversion"/>
  </si>
  <si>
    <t>거래일자</t>
  </si>
  <si>
    <t>거래시간</t>
  </si>
  <si>
    <t>원거래일자</t>
  </si>
  <si>
    <t>원승인번호</t>
  </si>
  <si>
    <t>사업자등록번호</t>
  </si>
  <si>
    <t>카드타입</t>
  </si>
  <si>
    <t>파일명</t>
  </si>
  <si>
    <t>구분</t>
    <phoneticPr fontId="18" type="noConversion"/>
  </si>
  <si>
    <t>카드사명</t>
    <phoneticPr fontId="18" type="noConversion"/>
  </si>
  <si>
    <t>파일소스</t>
    <phoneticPr fontId="18" type="noConversion"/>
  </si>
  <si>
    <t>소스건수</t>
    <phoneticPr fontId="18" type="noConversion"/>
  </si>
  <si>
    <t>ID</t>
    <phoneticPr fontId="18" type="noConversion"/>
  </si>
  <si>
    <t>Primary key</t>
    <phoneticPr fontId="18" type="noConversion"/>
  </si>
  <si>
    <t>Text</t>
    <phoneticPr fontId="18" type="noConversion"/>
  </si>
  <si>
    <t>Timestamp</t>
    <phoneticPr fontId="18" type="noConversion"/>
  </si>
  <si>
    <t>신용카드거래내역</t>
    <phoneticPr fontId="18" type="noConversion"/>
  </si>
  <si>
    <t>Integer</t>
    <phoneticPr fontId="18" type="noConversion"/>
  </si>
  <si>
    <t>자동증가</t>
    <phoneticPr fontId="18" type="noConversion"/>
  </si>
  <si>
    <t>Real</t>
    <phoneticPr fontId="18" type="noConversion"/>
  </si>
  <si>
    <t>신용</t>
    <phoneticPr fontId="18" type="noConversion"/>
  </si>
  <si>
    <t>체크</t>
    <phoneticPr fontId="18" type="noConversion"/>
  </si>
  <si>
    <t>거래시작일</t>
    <phoneticPr fontId="18" type="noConversion"/>
  </si>
  <si>
    <t>거래종료일</t>
    <phoneticPr fontId="18" type="noConversion"/>
  </si>
  <si>
    <t>excel</t>
    <phoneticPr fontId="18" type="noConversion"/>
  </si>
  <si>
    <t>pdf</t>
    <phoneticPr fontId="18" type="noConversion"/>
  </si>
  <si>
    <t>UNIQUE</t>
    <phoneticPr fontId="18" type="noConversion"/>
  </si>
  <si>
    <t>발급처</t>
    <phoneticPr fontId="18" type="noConversion"/>
  </si>
  <si>
    <t>준비서류</t>
    <phoneticPr fontId="18" type="noConversion"/>
  </si>
  <si>
    <t>(발급처,준비서류)</t>
    <phoneticPr fontId="18" type="noConversion"/>
  </si>
  <si>
    <t>카테고리</t>
    <phoneticPr fontId="18" type="noConversion"/>
  </si>
  <si>
    <t>파산신청준비서류</t>
    <phoneticPr fontId="18" type="noConversion"/>
  </si>
  <si>
    <t>체크상태</t>
    <phoneticPr fontId="18" type="noConversion"/>
  </si>
  <si>
    <t>신용카드계정과목</t>
    <phoneticPr fontId="18" type="noConversion"/>
  </si>
  <si>
    <t>신용카드발급정보</t>
    <phoneticPr fontId="18" type="noConversion"/>
  </si>
  <si>
    <t>CURRENT_TIMESTAMP</t>
  </si>
  <si>
    <t>N</t>
  </si>
  <si>
    <t>TIMESTAMP</t>
  </si>
  <si>
    <t>수정일시</t>
  </si>
  <si>
    <t>등록일시</t>
  </si>
  <si>
    <t>INTEGER</t>
  </si>
  <si>
    <t>체크상태</t>
  </si>
  <si>
    <t>TEXT</t>
  </si>
  <si>
    <t>준비서류</t>
  </si>
  <si>
    <t>발급처</t>
  </si>
  <si>
    <t>id</t>
  </si>
  <si>
    <t>파산신청준비서류</t>
  </si>
  <si>
    <t>신청인</t>
  </si>
  <si>
    <t>종료일</t>
  </si>
  <si>
    <t>시작일</t>
  </si>
  <si>
    <t>이메일</t>
  </si>
  <si>
    <t>연락처</t>
  </si>
  <si>
    <t>주민등록번호</t>
  </si>
  <si>
    <t>업종코드</t>
  </si>
  <si>
    <t>생성일시</t>
  </si>
  <si>
    <t>업종</t>
  </si>
  <si>
    <t>상호</t>
  </si>
  <si>
    <t>소스건수</t>
  </si>
  <si>
    <t>파일소스</t>
  </si>
  <si>
    <t>거래종료일</t>
  </si>
  <si>
    <t>거래시작일</t>
  </si>
  <si>
    <t>카드구분</t>
  </si>
  <si>
    <t>카드사명</t>
  </si>
  <si>
    <t>신용카드발급정보</t>
  </si>
  <si>
    <t>'N'</t>
  </si>
  <si>
    <t>필수여부</t>
  </si>
  <si>
    <t>순서</t>
  </si>
  <si>
    <t>계정과목명</t>
  </si>
  <si>
    <t>신용카드계정과목</t>
  </si>
  <si>
    <t>할부개월</t>
  </si>
  <si>
    <t>REAL</t>
  </si>
  <si>
    <t>거래금액</t>
  </si>
  <si>
    <t>FISRCARD.db</t>
  </si>
  <si>
    <t>기본값</t>
  </si>
  <si>
    <t>NOT NULL</t>
  </si>
  <si>
    <t>PK</t>
  </si>
  <si>
    <t>타입</t>
  </si>
  <si>
    <t>필드명</t>
  </si>
  <si>
    <t>레코드수</t>
  </si>
  <si>
    <t>테이블명</t>
  </si>
  <si>
    <t>데이터베이스</t>
  </si>
  <si>
    <t>신용카드카테고리</t>
    <phoneticPr fontId="18" type="noConversion"/>
  </si>
  <si>
    <t>신용카드카테고리</t>
    <phoneticPr fontId="3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</si>
</sst>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yyyy&quot;/&quot;m&quot;/&quot;d;@"/>
    <numFmt numFmtId="177" formatCode="#,##0_ "/>
    <numFmt numFmtId="178" formatCode="#,##0_);[Red]\(#,##0\)"/>
    <numFmt numFmtId="179" formatCode="h:mm:ss;@"/>
    <numFmt numFmtId="180" formatCode="yyyy&quot;년 &quot;mm&quot;월 &quot;dd&quot;일&quot;"/>
    <numFmt numFmtId="181" formatCode="0_ "/>
    <numFmt numFmtId="182" formatCode="yyyy&quot;-&quot;mm&quot;-&quot;dd"/>
    <numFmt numFmtId="183" formatCode="hh&quot;:&quot;mm&quot;:&quot;ss"/>
    <numFmt numFmtId="184" formatCode="yyyy&quot;/&quot;mm&quot;/&quot;dd"/>
  </numFmts>
  <fonts count="38" x14ac:knownFonts="1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1"/>
      <name val="굴림"/>
      <family val="3"/>
      <charset val="129"/>
    </font>
    <font>
      <b/>
      <sz val="30"/>
      <name val="굴림"/>
      <family val="3"/>
      <charset val="129"/>
    </font>
    <font>
      <b/>
      <sz val="10"/>
      <name val="굴림"/>
      <family val="3"/>
      <charset val="129"/>
    </font>
    <font>
      <b/>
      <sz val="14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굴림"/>
      <family val="3"/>
      <charset val="129"/>
    </font>
    <font>
      <sz val="10"/>
      <color theme="1"/>
      <name val="굴림"/>
      <family val="3"/>
      <charset val="129"/>
    </font>
    <font>
      <sz val="11"/>
      <color rgb="FFFF0000"/>
      <name val="굴림"/>
      <family val="3"/>
      <charset val="129"/>
    </font>
    <font>
      <b/>
      <sz val="20"/>
      <color theme="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5"/>
      <color theme="1"/>
      <name val="굴림"/>
      <family val="3"/>
      <charset val="129"/>
    </font>
    <font>
      <b/>
      <sz val="11"/>
      <color theme="1"/>
      <name val="굴림"/>
      <family val="3"/>
      <charset val="129"/>
    </font>
    <font>
      <b/>
      <sz val="25"/>
      <color theme="1"/>
      <name val="굴림"/>
      <family val="3"/>
      <charset val="129"/>
    </font>
    <font>
      <sz val="11"/>
      <name val="돋움"/>
      <family val="3"/>
      <charset val="129"/>
    </font>
    <font>
      <sz val="8"/>
      <name val="맑은 고딕"/>
      <family val="3"/>
      <charset val="129"/>
      <scheme val="minor"/>
    </font>
    <font>
      <sz val="10"/>
      <name val="바탕체"/>
      <family val="1"/>
      <charset val="129"/>
    </font>
    <font>
      <sz val="9"/>
      <name val="돋움체"/>
      <family val="3"/>
      <charset val="129"/>
    </font>
    <font>
      <b/>
      <sz val="10"/>
      <name val="돋움체"/>
      <family val="3"/>
      <charset val="129"/>
    </font>
    <font>
      <sz val="10"/>
      <name val="돋움체"/>
      <family val="3"/>
      <charset val="129"/>
    </font>
    <font>
      <sz val="7"/>
      <name val="돋움체"/>
      <family val="3"/>
      <charset val="129"/>
    </font>
    <font>
      <sz val="8"/>
      <name val="돋움체"/>
      <family val="3"/>
      <charset val="129"/>
    </font>
    <font>
      <sz val="6"/>
      <name val="돋움체"/>
      <family val="3"/>
      <charset val="129"/>
    </font>
    <font>
      <b/>
      <u/>
      <sz val="20"/>
      <name val="굴림체"/>
      <family val="3"/>
      <charset val="129"/>
    </font>
    <font>
      <sz val="8"/>
      <name val="굴림"/>
      <family val="3"/>
      <charset val="129"/>
    </font>
    <font>
      <strike/>
      <sz val="10"/>
      <name val="바탕체"/>
      <family val="1"/>
      <charset val="129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indexed="8"/>
      <name val="맑은 고딕"/>
      <family val="2"/>
      <scheme val="minor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6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41414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40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/>
      <bottom/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</borders>
  <cellStyleXfs count="9">
    <xf numFmtId="0" fontId="0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17" fillId="0" borderId="0"/>
    <xf numFmtId="0" fontId="29" fillId="0" borderId="0"/>
    <xf numFmtId="0" fontId="31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05">
    <xf numFmtId="0" fontId="0" fillId="0" borderId="0" xfId="0">
      <alignment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left" vertical="center"/>
    </xf>
    <xf numFmtId="176" fontId="9" fillId="0" borderId="0" xfId="0" applyNumberFormat="1" applyFont="1">
      <alignment vertical="center"/>
    </xf>
    <xf numFmtId="177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10" fillId="0" borderId="0" xfId="0" applyFont="1">
      <alignment vertical="center"/>
    </xf>
    <xf numFmtId="176" fontId="10" fillId="0" borderId="0" xfId="0" applyNumberFormat="1" applyFont="1">
      <alignment vertical="center"/>
    </xf>
    <xf numFmtId="177" fontId="10" fillId="0" borderId="0" xfId="0" applyNumberFormat="1" applyFo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1" fillId="0" borderId="0" xfId="0" applyFont="1">
      <alignment vertical="center"/>
    </xf>
    <xf numFmtId="0" fontId="9" fillId="0" borderId="0" xfId="0" applyFont="1" applyAlignment="1">
      <alignment horizontal="right" vertical="center"/>
    </xf>
    <xf numFmtId="178" fontId="12" fillId="0" borderId="0" xfId="0" applyNumberFormat="1" applyFont="1">
      <alignment vertical="center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left" vertical="center" wrapText="1"/>
    </xf>
    <xf numFmtId="0" fontId="9" fillId="0" borderId="1" xfId="2" applyFont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176" fontId="13" fillId="4" borderId="3" xfId="0" applyNumberFormat="1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0" fillId="5" borderId="4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center" vertical="center" shrinkToFit="1"/>
    </xf>
    <xf numFmtId="177" fontId="10" fillId="5" borderId="5" xfId="0" applyNumberFormat="1" applyFont="1" applyFill="1" applyBorder="1" applyAlignment="1">
      <alignment horizontal="right" vertical="center" shrinkToFit="1"/>
    </xf>
    <xf numFmtId="0" fontId="10" fillId="0" borderId="6" xfId="0" applyFont="1" applyBorder="1" applyAlignment="1">
      <alignment horizontal="center" vertical="center" shrinkToFit="1"/>
    </xf>
    <xf numFmtId="0" fontId="10" fillId="0" borderId="7" xfId="0" applyFont="1" applyBorder="1" applyAlignment="1">
      <alignment horizontal="center" vertical="center" shrinkToFit="1"/>
    </xf>
    <xf numFmtId="177" fontId="10" fillId="0" borderId="7" xfId="0" applyNumberFormat="1" applyFont="1" applyBorder="1" applyAlignment="1">
      <alignment horizontal="right" vertical="center" shrinkToFit="1"/>
    </xf>
    <xf numFmtId="177" fontId="9" fillId="5" borderId="8" xfId="0" applyNumberFormat="1" applyFont="1" applyFill="1" applyBorder="1">
      <alignment vertical="center"/>
    </xf>
    <xf numFmtId="179" fontId="10" fillId="5" borderId="5" xfId="0" applyNumberFormat="1" applyFont="1" applyFill="1" applyBorder="1" applyAlignment="1">
      <alignment horizontal="center" vertical="center" shrinkToFit="1"/>
    </xf>
    <xf numFmtId="179" fontId="10" fillId="0" borderId="7" xfId="0" applyNumberFormat="1" applyFont="1" applyBorder="1" applyAlignment="1">
      <alignment horizontal="center" vertical="center" shrinkToFit="1"/>
    </xf>
    <xf numFmtId="14" fontId="10" fillId="5" borderId="5" xfId="0" applyNumberFormat="1" applyFont="1" applyFill="1" applyBorder="1" applyAlignment="1">
      <alignment horizontal="center" vertical="center" shrinkToFit="1"/>
    </xf>
    <xf numFmtId="14" fontId="10" fillId="0" borderId="7" xfId="0" applyNumberFormat="1" applyFont="1" applyBorder="1" applyAlignment="1">
      <alignment horizontal="center" vertical="center" shrinkToFit="1"/>
    </xf>
    <xf numFmtId="0" fontId="17" fillId="0" borderId="0" xfId="3"/>
    <xf numFmtId="0" fontId="24" fillId="0" borderId="16" xfId="3" applyFont="1" applyBorder="1" applyAlignment="1" applyProtection="1">
      <alignment horizontal="right" vertical="center" wrapText="1"/>
      <protection locked="0"/>
    </xf>
    <xf numFmtId="0" fontId="22" fillId="0" borderId="0" xfId="3" applyFont="1" applyAlignment="1" applyProtection="1">
      <alignment horizontal="center" vertical="center" wrapText="1"/>
      <protection locked="0"/>
    </xf>
    <xf numFmtId="183" fontId="27" fillId="0" borderId="0" xfId="3" applyNumberFormat="1" applyFont="1" applyAlignment="1" applyProtection="1">
      <alignment horizontal="left" vertical="center" wrapText="1"/>
      <protection locked="0"/>
    </xf>
    <xf numFmtId="0" fontId="29" fillId="0" borderId="0" xfId="4"/>
    <xf numFmtId="0" fontId="29" fillId="0" borderId="15" xfId="4" applyBorder="1" applyAlignment="1">
      <alignment horizontal="right"/>
    </xf>
    <xf numFmtId="0" fontId="30" fillId="6" borderId="15" xfId="4" applyFont="1" applyFill="1" applyBorder="1" applyAlignment="1">
      <alignment horizontal="center" vertical="center"/>
    </xf>
    <xf numFmtId="0" fontId="31" fillId="0" borderId="0" xfId="5">
      <alignment vertical="center"/>
    </xf>
    <xf numFmtId="0" fontId="32" fillId="0" borderId="15" xfId="5" applyFont="1" applyBorder="1" applyAlignment="1">
      <alignment horizontal="center" vertical="center" wrapText="1"/>
    </xf>
    <xf numFmtId="0" fontId="32" fillId="0" borderId="15" xfId="5" applyFont="1" applyBorder="1" applyAlignment="1">
      <alignment horizontal="right" vertical="center" wrapText="1"/>
    </xf>
    <xf numFmtId="0" fontId="32" fillId="0" borderId="15" xfId="5" applyFont="1" applyBorder="1" applyAlignment="1">
      <alignment horizontal="left" vertical="center" wrapText="1"/>
    </xf>
    <xf numFmtId="0" fontId="33" fillId="0" borderId="0" xfId="5" applyFont="1" applyAlignment="1">
      <alignment horizontal="right" vertical="center"/>
    </xf>
    <xf numFmtId="0" fontId="2" fillId="0" borderId="0" xfId="7">
      <alignment vertical="center"/>
    </xf>
    <xf numFmtId="0" fontId="2" fillId="0" borderId="23" xfId="7" applyBorder="1" applyAlignment="1">
      <alignment horizontal="center" vertical="center"/>
    </xf>
    <xf numFmtId="0" fontId="2" fillId="7" borderId="20" xfId="7" applyFill="1" applyBorder="1" applyAlignment="1">
      <alignment horizontal="center" vertical="center"/>
    </xf>
    <xf numFmtId="0" fontId="2" fillId="7" borderId="21" xfId="7" applyFill="1" applyBorder="1" applyAlignment="1">
      <alignment horizontal="center" vertical="center"/>
    </xf>
    <xf numFmtId="0" fontId="2" fillId="0" borderId="24" xfId="7" applyBorder="1" applyAlignment="1">
      <alignment horizontal="center" vertical="center"/>
    </xf>
    <xf numFmtId="0" fontId="2" fillId="7" borderId="23" xfId="7" applyFill="1" applyBorder="1" applyAlignment="1">
      <alignment horizontal="center" vertical="center"/>
    </xf>
    <xf numFmtId="0" fontId="2" fillId="0" borderId="0" xfId="7" applyAlignment="1">
      <alignment horizontal="center" vertical="center"/>
    </xf>
    <xf numFmtId="0" fontId="2" fillId="7" borderId="24" xfId="7" applyFill="1" applyBorder="1" applyAlignment="1">
      <alignment horizontal="center" vertical="center"/>
    </xf>
    <xf numFmtId="0" fontId="2" fillId="0" borderId="26" xfId="7" applyBorder="1" applyAlignment="1">
      <alignment horizontal="center" vertical="center"/>
    </xf>
    <xf numFmtId="0" fontId="2" fillId="0" borderId="27" xfId="7" applyBorder="1" applyAlignment="1">
      <alignment horizontal="center" vertical="center"/>
    </xf>
    <xf numFmtId="0" fontId="10" fillId="7" borderId="4" xfId="0" applyFont="1" applyFill="1" applyBorder="1" applyAlignment="1">
      <alignment horizontal="center" vertical="center" shrinkToFit="1"/>
    </xf>
    <xf numFmtId="0" fontId="10" fillId="7" borderId="5" xfId="0" applyFont="1" applyFill="1" applyBorder="1" applyAlignment="1">
      <alignment horizontal="center" vertical="center" shrinkToFit="1"/>
    </xf>
    <xf numFmtId="14" fontId="10" fillId="7" borderId="5" xfId="0" applyNumberFormat="1" applyFont="1" applyFill="1" applyBorder="1" applyAlignment="1">
      <alignment horizontal="center" vertical="center" shrinkToFit="1"/>
    </xf>
    <xf numFmtId="179" fontId="10" fillId="7" borderId="5" xfId="0" applyNumberFormat="1" applyFont="1" applyFill="1" applyBorder="1" applyAlignment="1">
      <alignment horizontal="center" vertical="center" shrinkToFit="1"/>
    </xf>
    <xf numFmtId="177" fontId="10" fillId="7" borderId="5" xfId="0" applyNumberFormat="1" applyFont="1" applyFill="1" applyBorder="1" applyAlignment="1">
      <alignment horizontal="right" vertical="center" shrinkToFit="1"/>
    </xf>
    <xf numFmtId="0" fontId="9" fillId="7" borderId="0" xfId="0" applyFont="1" applyFill="1">
      <alignment vertical="center"/>
    </xf>
    <xf numFmtId="0" fontId="2" fillId="0" borderId="28" xfId="7" applyBorder="1" applyAlignment="1">
      <alignment horizontal="center" vertical="center"/>
    </xf>
    <xf numFmtId="0" fontId="2" fillId="7" borderId="0" xfId="7" applyFill="1" applyAlignment="1">
      <alignment horizontal="center" vertical="center"/>
    </xf>
    <xf numFmtId="0" fontId="32" fillId="7" borderId="15" xfId="5" applyFont="1" applyFill="1" applyBorder="1" applyAlignment="1">
      <alignment horizontal="center" vertical="center" wrapText="1"/>
    </xf>
    <xf numFmtId="0" fontId="32" fillId="7" borderId="15" xfId="5" applyFont="1" applyFill="1" applyBorder="1" applyAlignment="1">
      <alignment horizontal="left" vertical="center" wrapText="1"/>
    </xf>
    <xf numFmtId="0" fontId="32" fillId="7" borderId="15" xfId="5" applyFont="1" applyFill="1" applyBorder="1" applyAlignment="1">
      <alignment horizontal="right" vertical="center" wrapText="1"/>
    </xf>
    <xf numFmtId="0" fontId="31" fillId="7" borderId="0" xfId="5" applyFill="1">
      <alignment vertical="center"/>
    </xf>
    <xf numFmtId="41" fontId="29" fillId="0" borderId="0" xfId="6" applyFont="1" applyAlignment="1"/>
    <xf numFmtId="41" fontId="29" fillId="0" borderId="0" xfId="4" applyNumberFormat="1"/>
    <xf numFmtId="0" fontId="0" fillId="0" borderId="24" xfId="0" applyBorder="1">
      <alignment vertical="center"/>
    </xf>
    <xf numFmtId="0" fontId="36" fillId="3" borderId="20" xfId="0" applyFont="1" applyFill="1" applyBorder="1">
      <alignment vertical="center"/>
    </xf>
    <xf numFmtId="0" fontId="36" fillId="3" borderId="21" xfId="0" applyFont="1" applyFill="1" applyBorder="1">
      <alignment vertical="center"/>
    </xf>
    <xf numFmtId="0" fontId="0" fillId="0" borderId="23" xfId="0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37" fillId="3" borderId="20" xfId="0" applyFont="1" applyFill="1" applyBorder="1">
      <alignment vertical="center"/>
    </xf>
    <xf numFmtId="0" fontId="0" fillId="3" borderId="23" xfId="0" applyFill="1" applyBorder="1">
      <alignment vertical="center"/>
    </xf>
    <xf numFmtId="0" fontId="0" fillId="3" borderId="24" xfId="0" applyFill="1" applyBorder="1">
      <alignment vertical="center"/>
    </xf>
    <xf numFmtId="0" fontId="0" fillId="3" borderId="20" xfId="0" applyFill="1" applyBorder="1" applyAlignment="1">
      <alignment horizontal="left" vertical="center"/>
    </xf>
    <xf numFmtId="0" fontId="0" fillId="3" borderId="20" xfId="0" applyFill="1" applyBorder="1">
      <alignment vertical="center"/>
    </xf>
    <xf numFmtId="0" fontId="0" fillId="3" borderId="21" xfId="0" applyFill="1" applyBorder="1">
      <alignment vertical="center"/>
    </xf>
    <xf numFmtId="0" fontId="0" fillId="3" borderId="24" xfId="0" applyFill="1" applyBorder="1" applyAlignment="1">
      <alignment horizontal="left" vertical="center"/>
    </xf>
    <xf numFmtId="0" fontId="36" fillId="7" borderId="29" xfId="0" applyFont="1" applyFill="1" applyBorder="1" applyAlignment="1">
      <alignment horizontal="center" vertical="center"/>
    </xf>
    <xf numFmtId="0" fontId="36" fillId="7" borderId="30" xfId="0" applyFont="1" applyFill="1" applyBorder="1" applyAlignment="1">
      <alignment horizontal="center" vertical="center"/>
    </xf>
    <xf numFmtId="0" fontId="36" fillId="7" borderId="31" xfId="0" applyFont="1" applyFill="1" applyBorder="1" applyAlignment="1">
      <alignment horizontal="center" vertical="center"/>
    </xf>
    <xf numFmtId="0" fontId="9" fillId="0" borderId="0" xfId="0" applyFont="1">
      <alignment vertical="center"/>
    </xf>
    <xf numFmtId="0" fontId="15" fillId="4" borderId="11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78" fontId="15" fillId="4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176" fontId="13" fillId="4" borderId="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10" fillId="5" borderId="5" xfId="0" applyNumberFormat="1" applyFont="1" applyFill="1" applyBorder="1" applyAlignment="1">
      <alignment horizontal="right" vertical="center" shrinkToFit="1"/>
    </xf>
    <xf numFmtId="14" fontId="4" fillId="5" borderId="0" xfId="0" applyNumberFormat="1" applyFont="1" applyFill="1" applyAlignment="1">
      <alignment horizontal="left" vertical="center"/>
    </xf>
    <xf numFmtId="41" fontId="9" fillId="0" borderId="13" xfId="2" applyNumberFormat="1" applyFont="1" applyBorder="1" applyAlignment="1">
      <alignment horizontal="right" vertical="center"/>
    </xf>
    <xf numFmtId="41" fontId="9" fillId="0" borderId="1" xfId="2" applyNumberFormat="1" applyFont="1" applyBorder="1" applyAlignment="1">
      <alignment horizontal="right" vertical="center"/>
    </xf>
    <xf numFmtId="0" fontId="10" fillId="5" borderId="5" xfId="0" applyFont="1" applyFill="1" applyBorder="1" applyAlignment="1">
      <alignment horizontal="center" vertical="center" shrinkToFit="1"/>
    </xf>
    <xf numFmtId="14" fontId="10" fillId="5" borderId="5" xfId="0" applyNumberFormat="1" applyFont="1" applyFill="1" applyBorder="1" applyAlignment="1">
      <alignment horizontal="center" vertical="center" shrinkToFit="1"/>
    </xf>
    <xf numFmtId="0" fontId="10" fillId="5" borderId="10" xfId="0" applyFont="1" applyFill="1" applyBorder="1" applyAlignment="1">
      <alignment horizontal="center" vertical="center" shrinkToFit="1"/>
    </xf>
    <xf numFmtId="0" fontId="10" fillId="5" borderId="5" xfId="0" applyFont="1" applyFill="1" applyBorder="1" applyAlignment="1">
      <alignment horizontal="left" vertical="center" shrinkToFit="1"/>
    </xf>
    <xf numFmtId="0" fontId="15" fillId="4" borderId="2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9" fillId="5" borderId="13" xfId="0" applyNumberFormat="1" applyFont="1" applyFill="1" applyBorder="1" applyAlignment="1">
      <alignment horizontal="right" vertical="center"/>
    </xf>
    <xf numFmtId="14" fontId="9" fillId="5" borderId="1" xfId="0" applyNumberFormat="1" applyFont="1" applyFill="1" applyBorder="1" applyAlignment="1">
      <alignment horizontal="right" vertical="center"/>
    </xf>
    <xf numFmtId="177" fontId="6" fillId="4" borderId="3" xfId="0" applyNumberFormat="1" applyFont="1" applyFill="1" applyBorder="1" applyAlignment="1">
      <alignment horizontal="center" vertical="center"/>
    </xf>
    <xf numFmtId="0" fontId="10" fillId="7" borderId="5" xfId="0" applyFont="1" applyFill="1" applyBorder="1" applyAlignment="1">
      <alignment horizontal="center" vertical="center" shrinkToFit="1"/>
    </xf>
    <xf numFmtId="177" fontId="10" fillId="7" borderId="5" xfId="0" applyNumberFormat="1" applyFont="1" applyFill="1" applyBorder="1" applyAlignment="1">
      <alignment horizontal="right" vertical="center" shrinkToFit="1"/>
    </xf>
    <xf numFmtId="14" fontId="10" fillId="7" borderId="5" xfId="0" applyNumberFormat="1" applyFont="1" applyFill="1" applyBorder="1" applyAlignment="1">
      <alignment horizontal="center" vertical="center" shrinkToFit="1"/>
    </xf>
    <xf numFmtId="0" fontId="10" fillId="7" borderId="10" xfId="0" applyFont="1" applyFill="1" applyBorder="1" applyAlignment="1">
      <alignment horizontal="center" vertical="center" shrinkToFit="1"/>
    </xf>
    <xf numFmtId="0" fontId="10" fillId="7" borderId="5" xfId="0" applyFont="1" applyFill="1" applyBorder="1" applyAlignment="1">
      <alignment horizontal="left" vertical="center" shrinkToFit="1"/>
    </xf>
    <xf numFmtId="0" fontId="14" fillId="0" borderId="0" xfId="0" applyFont="1" applyAlignment="1">
      <alignment horizontal="right" vertical="center" wrapText="1"/>
    </xf>
    <xf numFmtId="178" fontId="16" fillId="0" borderId="0" xfId="0" applyNumberFormat="1" applyFont="1" applyAlignment="1">
      <alignment horizontal="center" vertical="center"/>
    </xf>
    <xf numFmtId="0" fontId="10" fillId="0" borderId="7" xfId="0" applyFont="1" applyBorder="1" applyAlignment="1">
      <alignment horizontal="left" vertical="center" shrinkToFit="1"/>
    </xf>
    <xf numFmtId="0" fontId="10" fillId="0" borderId="7" xfId="0" applyFont="1" applyBorder="1" applyAlignment="1">
      <alignment horizontal="center" vertical="center" shrinkToFit="1"/>
    </xf>
    <xf numFmtId="0" fontId="10" fillId="0" borderId="14" xfId="0" applyFont="1" applyBorder="1" applyAlignment="1">
      <alignment horizontal="center" vertical="center" shrinkToFit="1"/>
    </xf>
    <xf numFmtId="14" fontId="10" fillId="0" borderId="7" xfId="0" applyNumberFormat="1" applyFont="1" applyBorder="1" applyAlignment="1">
      <alignment horizontal="center" vertical="center" shrinkToFit="1"/>
    </xf>
    <xf numFmtId="177" fontId="10" fillId="0" borderId="7" xfId="0" applyNumberFormat="1" applyFont="1" applyBorder="1" applyAlignment="1">
      <alignment horizontal="right" vertical="center" shrinkToFit="1"/>
    </xf>
    <xf numFmtId="0" fontId="21" fillId="0" borderId="0" xfId="3" applyFont="1" applyAlignment="1" applyProtection="1">
      <alignment horizontal="center" vertical="center" wrapText="1"/>
      <protection locked="0"/>
    </xf>
    <xf numFmtId="0" fontId="20" fillId="0" borderId="0" xfId="3" applyFont="1" applyAlignment="1" applyProtection="1">
      <alignment horizontal="right" vertical="center" wrapText="1"/>
      <protection locked="0"/>
    </xf>
    <xf numFmtId="0" fontId="19" fillId="0" borderId="0" xfId="3" applyFont="1" applyAlignment="1" applyProtection="1">
      <alignment horizontal="left" vertical="center" wrapText="1"/>
      <protection locked="0"/>
    </xf>
    <xf numFmtId="177" fontId="23" fillId="0" borderId="15" xfId="3" applyNumberFormat="1" applyFont="1" applyBorder="1" applyAlignment="1" applyProtection="1">
      <alignment horizontal="right" vertical="center" wrapText="1"/>
      <protection locked="0"/>
    </xf>
    <xf numFmtId="0" fontId="22" fillId="0" borderId="15" xfId="3" applyFont="1" applyBorder="1" applyAlignment="1" applyProtection="1">
      <alignment horizontal="right" vertical="center" wrapText="1"/>
      <protection locked="0"/>
    </xf>
    <xf numFmtId="180" fontId="20" fillId="0" borderId="0" xfId="3" applyNumberFormat="1" applyFont="1" applyAlignment="1" applyProtection="1">
      <alignment horizontal="right" vertical="center" wrapText="1"/>
      <protection locked="0"/>
    </xf>
    <xf numFmtId="182" fontId="23" fillId="0" borderId="15" xfId="3" applyNumberFormat="1" applyFont="1" applyBorder="1" applyAlignment="1" applyProtection="1">
      <alignment horizontal="center" vertical="center" wrapText="1"/>
      <protection locked="0"/>
    </xf>
    <xf numFmtId="0" fontId="23" fillId="0" borderId="15" xfId="3" applyFont="1" applyBorder="1" applyAlignment="1" applyProtection="1">
      <alignment horizontal="left" vertical="center" wrapText="1"/>
      <protection locked="0"/>
    </xf>
    <xf numFmtId="0" fontId="25" fillId="0" borderId="15" xfId="3" applyFont="1" applyBorder="1" applyAlignment="1" applyProtection="1">
      <alignment horizontal="center" vertical="center" wrapText="1"/>
      <protection locked="0"/>
    </xf>
    <xf numFmtId="181" fontId="23" fillId="0" borderId="15" xfId="3" applyNumberFormat="1" applyFont="1" applyBorder="1" applyAlignment="1" applyProtection="1">
      <alignment horizontal="center" vertical="center" wrapText="1"/>
      <protection locked="0"/>
    </xf>
    <xf numFmtId="0" fontId="23" fillId="0" borderId="15" xfId="3" applyFont="1" applyBorder="1" applyAlignment="1" applyProtection="1">
      <alignment horizontal="center" vertical="center" wrapText="1"/>
      <protection locked="0"/>
    </xf>
    <xf numFmtId="0" fontId="24" fillId="0" borderId="15" xfId="3" applyFont="1" applyBorder="1" applyAlignment="1" applyProtection="1">
      <alignment horizontal="center" vertical="center" wrapText="1"/>
      <protection locked="0"/>
    </xf>
    <xf numFmtId="177" fontId="24" fillId="0" borderId="17" xfId="3" applyNumberFormat="1" applyFont="1" applyBorder="1" applyAlignment="1" applyProtection="1">
      <alignment horizontal="right" vertical="center" wrapText="1"/>
      <protection locked="0"/>
    </xf>
    <xf numFmtId="0" fontId="22" fillId="0" borderId="0" xfId="3" applyFont="1" applyAlignment="1" applyProtection="1">
      <alignment horizontal="left" vertical="center" wrapText="1"/>
      <protection locked="0"/>
    </xf>
    <xf numFmtId="182" fontId="22" fillId="0" borderId="0" xfId="3" applyNumberFormat="1" applyFont="1" applyAlignment="1" applyProtection="1">
      <alignment horizontal="center" vertical="center" wrapText="1"/>
      <protection locked="0"/>
    </xf>
    <xf numFmtId="0" fontId="22" fillId="0" borderId="15" xfId="3" applyFont="1" applyBorder="1" applyAlignment="1" applyProtection="1">
      <alignment horizontal="center" vertical="center" wrapText="1"/>
      <protection locked="0"/>
    </xf>
    <xf numFmtId="0" fontId="28" fillId="0" borderId="0" xfId="3" applyFont="1" applyAlignment="1" applyProtection="1">
      <alignment horizontal="left" vertical="center" wrapText="1"/>
      <protection locked="0"/>
    </xf>
    <xf numFmtId="0" fontId="27" fillId="0" borderId="0" xfId="3" applyFont="1" applyAlignment="1" applyProtection="1">
      <alignment horizontal="left" vertical="center" wrapText="1"/>
      <protection locked="0"/>
    </xf>
    <xf numFmtId="184" fontId="27" fillId="0" borderId="0" xfId="3" applyNumberFormat="1" applyFont="1" applyAlignment="1" applyProtection="1">
      <alignment horizontal="left" vertical="center" wrapText="1"/>
      <protection locked="0"/>
    </xf>
    <xf numFmtId="183" fontId="27" fillId="0" borderId="0" xfId="3" applyNumberFormat="1" applyFont="1" applyAlignment="1" applyProtection="1">
      <alignment horizontal="left" vertical="center" wrapText="1"/>
      <protection locked="0"/>
    </xf>
    <xf numFmtId="0" fontId="26" fillId="0" borderId="0" xfId="3" applyFont="1" applyAlignment="1" applyProtection="1">
      <alignment horizontal="center" vertical="center" wrapText="1"/>
      <protection locked="0"/>
    </xf>
    <xf numFmtId="0" fontId="21" fillId="2" borderId="15" xfId="3" applyFont="1" applyFill="1" applyBorder="1" applyAlignment="1" applyProtection="1">
      <alignment horizontal="center" vertical="center" wrapText="1"/>
      <protection locked="0"/>
    </xf>
    <xf numFmtId="0" fontId="22" fillId="0" borderId="15" xfId="3" applyFont="1" applyBorder="1" applyAlignment="1" applyProtection="1">
      <alignment horizontal="left" vertical="center" wrapText="1"/>
      <protection locked="0"/>
    </xf>
    <xf numFmtId="0" fontId="32" fillId="0" borderId="0" xfId="5" applyFont="1">
      <alignment vertical="center"/>
    </xf>
    <xf numFmtId="0" fontId="31" fillId="0" borderId="0" xfId="5">
      <alignment vertical="center"/>
    </xf>
    <xf numFmtId="0" fontId="34" fillId="0" borderId="18" xfId="5" applyFont="1" applyBorder="1" applyAlignment="1">
      <alignment horizontal="left" vertical="center"/>
    </xf>
    <xf numFmtId="0" fontId="32" fillId="0" borderId="0" xfId="5" applyFont="1" applyAlignment="1">
      <alignment horizontal="left" vertical="center"/>
    </xf>
    <xf numFmtId="0" fontId="33" fillId="0" borderId="0" xfId="5" applyFont="1">
      <alignment vertical="center"/>
    </xf>
    <xf numFmtId="0" fontId="32" fillId="0" borderId="15" xfId="5" applyFont="1" applyBorder="1" applyAlignment="1">
      <alignment horizontal="center" vertical="center" wrapText="1"/>
    </xf>
    <xf numFmtId="0" fontId="1" fillId="0" borderId="0" xfId="8">
      <alignment vertical="center"/>
    </xf>
    <xf numFmtId="0" fontId="1" fillId="0" borderId="26" xfId="8" applyBorder="1">
      <alignment vertical="center"/>
    </xf>
    <xf numFmtId="0" fontId="1" fillId="0" borderId="26" xfId="8" applyBorder="1" applyAlignment="1">
      <alignment horizontal="center" vertical="center"/>
    </xf>
    <xf numFmtId="0" fontId="1" fillId="0" borderId="31" xfId="8" applyBorder="1" applyAlignment="1">
      <alignment horizontal="center" vertical="center"/>
    </xf>
    <xf numFmtId="0" fontId="1" fillId="0" borderId="23" xfId="8" applyBorder="1">
      <alignment vertical="center"/>
    </xf>
    <xf numFmtId="0" fontId="1" fillId="0" borderId="23" xfId="8" applyBorder="1" applyAlignment="1">
      <alignment horizontal="center" vertical="center"/>
    </xf>
    <xf numFmtId="0" fontId="1" fillId="0" borderId="30" xfId="8" applyBorder="1" applyAlignment="1">
      <alignment horizontal="center" vertical="center"/>
    </xf>
    <xf numFmtId="0" fontId="1" fillId="0" borderId="32" xfId="8" applyBorder="1" applyAlignment="1">
      <alignment horizontal="center" vertical="center"/>
    </xf>
    <xf numFmtId="0" fontId="1" fillId="0" borderId="33" xfId="8" applyBorder="1" applyAlignment="1">
      <alignment horizontal="center" vertical="center"/>
    </xf>
    <xf numFmtId="0" fontId="1" fillId="0" borderId="28" xfId="8" applyBorder="1" applyAlignment="1">
      <alignment horizontal="center" vertical="center"/>
    </xf>
    <xf numFmtId="0" fontId="1" fillId="0" borderId="32" xfId="8" applyBorder="1">
      <alignment vertical="center"/>
    </xf>
    <xf numFmtId="0" fontId="1" fillId="0" borderId="29" xfId="8" applyBorder="1" applyAlignment="1">
      <alignment horizontal="center" vertical="center"/>
    </xf>
    <xf numFmtId="0" fontId="36" fillId="8" borderId="36" xfId="8" applyFont="1" applyFill="1" applyBorder="1" applyAlignment="1">
      <alignment horizontal="center" vertical="center"/>
    </xf>
    <xf numFmtId="0" fontId="36" fillId="8" borderId="37" xfId="8" applyFont="1" applyFill="1" applyBorder="1" applyAlignment="1">
      <alignment horizontal="center" vertical="center"/>
    </xf>
    <xf numFmtId="0" fontId="36" fillId="8" borderId="38" xfId="8" applyFont="1" applyFill="1" applyBorder="1" applyAlignment="1">
      <alignment horizontal="center" vertical="center"/>
    </xf>
    <xf numFmtId="41" fontId="36" fillId="8" borderId="37" xfId="6" applyFont="1" applyFill="1" applyBorder="1" applyAlignment="1">
      <alignment horizontal="center" vertical="center"/>
    </xf>
    <xf numFmtId="41" fontId="1" fillId="0" borderId="35" xfId="6" applyFont="1" applyBorder="1" applyAlignment="1">
      <alignment horizontal="center" vertical="center"/>
    </xf>
    <xf numFmtId="41" fontId="1" fillId="0" borderId="33" xfId="6" applyFont="1" applyBorder="1" applyAlignment="1">
      <alignment horizontal="center" vertical="center"/>
    </xf>
    <xf numFmtId="41" fontId="1" fillId="0" borderId="32" xfId="6" applyFont="1" applyBorder="1" applyAlignment="1">
      <alignment horizontal="center" vertical="center"/>
    </xf>
    <xf numFmtId="41" fontId="1" fillId="0" borderId="28" xfId="6" applyFont="1" applyBorder="1" applyAlignment="1">
      <alignment horizontal="center" vertical="center"/>
    </xf>
    <xf numFmtId="41" fontId="1" fillId="0" borderId="23" xfId="6" applyFont="1" applyBorder="1">
      <alignment vertical="center"/>
    </xf>
    <xf numFmtId="41" fontId="1" fillId="0" borderId="26" xfId="6" applyFont="1" applyBorder="1">
      <alignment vertical="center"/>
    </xf>
    <xf numFmtId="41" fontId="1" fillId="0" borderId="0" xfId="6" applyFont="1">
      <alignment vertical="center"/>
    </xf>
    <xf numFmtId="41" fontId="1" fillId="0" borderId="39" xfId="6" applyFont="1" applyBorder="1" applyAlignment="1">
      <alignment horizontal="center" vertical="center"/>
    </xf>
    <xf numFmtId="41" fontId="1" fillId="0" borderId="32" xfId="6" applyFont="1" applyBorder="1">
      <alignment vertical="center"/>
    </xf>
    <xf numFmtId="0" fontId="1" fillId="0" borderId="34" xfId="8" applyBorder="1" applyAlignment="1">
      <alignment horizontal="left" vertical="center"/>
    </xf>
    <xf numFmtId="0" fontId="1" fillId="0" borderId="24" xfId="8" applyBorder="1" applyAlignment="1">
      <alignment horizontal="left" vertical="center"/>
    </xf>
    <xf numFmtId="0" fontId="1" fillId="0" borderId="27" xfId="8" applyBorder="1" applyAlignment="1">
      <alignment horizontal="left" vertical="center"/>
    </xf>
    <xf numFmtId="0" fontId="1" fillId="0" borderId="0" xfId="8" applyAlignment="1">
      <alignment horizontal="left" vertical="center"/>
    </xf>
    <xf numFmtId="0" fontId="37" fillId="7" borderId="29" xfId="0" applyFont="1" applyFill="1" applyBorder="1" applyAlignment="1">
      <alignment horizontal="center" vertical="center"/>
    </xf>
    <xf numFmtId="0" fontId="37" fillId="7" borderId="30" xfId="0" applyFont="1" applyFill="1" applyBorder="1" applyAlignment="1">
      <alignment horizontal="center" vertical="center"/>
    </xf>
    <xf numFmtId="0" fontId="37" fillId="7" borderId="31" xfId="0" applyFont="1" applyFill="1" applyBorder="1" applyAlignment="1">
      <alignment horizontal="center" vertical="center"/>
    </xf>
    <xf numFmtId="0" fontId="36" fillId="7" borderId="19" xfId="7" applyFont="1" applyFill="1" applyBorder="1" applyAlignment="1">
      <alignment horizontal="center" vertical="center"/>
    </xf>
    <xf numFmtId="0" fontId="36" fillId="3" borderId="22" xfId="7" applyFont="1" applyFill="1" applyBorder="1" applyAlignment="1">
      <alignment horizontal="center" vertical="center"/>
    </xf>
    <xf numFmtId="0" fontId="36" fillId="7" borderId="22" xfId="7" applyFont="1" applyFill="1" applyBorder="1" applyAlignment="1">
      <alignment horizontal="center" vertical="center"/>
    </xf>
    <xf numFmtId="0" fontId="36" fillId="3" borderId="25" xfId="7" applyFont="1" applyFill="1" applyBorder="1" applyAlignment="1">
      <alignment horizontal="center" vertical="center"/>
    </xf>
    <xf numFmtId="0" fontId="36" fillId="0" borderId="0" xfId="7" applyFont="1" applyAlignment="1">
      <alignment horizontal="center" vertical="center"/>
    </xf>
    <xf numFmtId="0" fontId="36" fillId="7" borderId="20" xfId="7" applyFont="1" applyFill="1" applyBorder="1" applyAlignment="1">
      <alignment horizontal="center" vertical="center"/>
    </xf>
    <xf numFmtId="0" fontId="36" fillId="3" borderId="23" xfId="7" applyFont="1" applyFill="1" applyBorder="1" applyAlignment="1">
      <alignment horizontal="center" vertical="center"/>
    </xf>
    <xf numFmtId="0" fontId="36" fillId="7" borderId="23" xfId="7" applyFont="1" applyFill="1" applyBorder="1" applyAlignment="1">
      <alignment horizontal="center" vertical="center"/>
    </xf>
    <xf numFmtId="0" fontId="36" fillId="3" borderId="26" xfId="7" applyFont="1" applyFill="1" applyBorder="1" applyAlignment="1">
      <alignment horizontal="center" vertical="center"/>
    </xf>
    <xf numFmtId="0" fontId="36" fillId="3" borderId="23" xfId="7" applyFont="1" applyFill="1" applyBorder="1" applyAlignment="1">
      <alignment horizontal="left" vertical="center"/>
    </xf>
    <xf numFmtId="41" fontId="1" fillId="9" borderId="23" xfId="6" applyFont="1" applyFill="1" applyBorder="1">
      <alignment vertical="center"/>
    </xf>
    <xf numFmtId="0" fontId="1" fillId="9" borderId="23" xfId="8" applyFill="1" applyBorder="1">
      <alignment vertical="center"/>
    </xf>
    <xf numFmtId="0" fontId="1" fillId="9" borderId="24" xfId="8" applyFill="1" applyBorder="1" applyAlignment="1">
      <alignment horizontal="left" vertical="center"/>
    </xf>
    <xf numFmtId="41" fontId="1" fillId="3" borderId="23" xfId="6" applyFont="1" applyFill="1" applyBorder="1">
      <alignment vertical="center"/>
    </xf>
    <xf numFmtId="0" fontId="1" fillId="3" borderId="23" xfId="8" applyFill="1" applyBorder="1">
      <alignment vertical="center"/>
    </xf>
    <xf numFmtId="0" fontId="1" fillId="0" borderId="32" xfId="8" applyFill="1" applyBorder="1">
      <alignment vertical="center"/>
    </xf>
    <xf numFmtId="0" fontId="1" fillId="0" borderId="23" xfId="8" applyFill="1" applyBorder="1">
      <alignment vertical="center"/>
    </xf>
    <xf numFmtId="0" fontId="1" fillId="0" borderId="24" xfId="8" applyFill="1" applyBorder="1" applyAlignment="1">
      <alignment horizontal="left" vertical="center"/>
    </xf>
  </cellXfs>
  <cellStyles count="9">
    <cellStyle name="쉼표 [0]" xfId="6" builtinId="6"/>
    <cellStyle name="쉼표 [0] 2" xfId="1" xr:uid="{FBEB53B3-1A4A-4C81-A428-079D06EACF74}"/>
    <cellStyle name="표준" xfId="0" builtinId="0"/>
    <cellStyle name="표준 2" xfId="2" xr:uid="{3E2283B3-8981-4EBC-BADC-9DE4F11A0D89}"/>
    <cellStyle name="표준 3" xfId="3" xr:uid="{323E5D0B-639F-4BF9-AB5F-73FCBA9AFAA9}"/>
    <cellStyle name="표준 4" xfId="4" xr:uid="{F652C176-D2F3-472F-96EE-F2ED50BD62B9}"/>
    <cellStyle name="표준 5" xfId="5" xr:uid="{71C7FAFB-BF10-4406-BAA3-3AC493766CDC}"/>
    <cellStyle name="표준 6" xfId="7" xr:uid="{96C44EE7-4718-4998-806C-A0478F5744D0}"/>
    <cellStyle name="표준 7" xfId="8" xr:uid="{5E45503B-E7C1-431F-8154-FE08A2EAA0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95250</xdr:colOff>
      <xdr:row>0</xdr:row>
      <xdr:rowOff>57150</xdr:rowOff>
    </xdr:from>
    <xdr:to>
      <xdr:col>7</xdr:col>
      <xdr:colOff>561975</xdr:colOff>
      <xdr:row>2</xdr:row>
      <xdr:rowOff>180975</xdr:rowOff>
    </xdr:to>
    <xdr:pic>
      <xdr:nvPicPr>
        <xdr:cNvPr id="1059" name="그림 4">
          <a:extLst>
            <a:ext uri="{FF2B5EF4-FFF2-40B4-BE49-F238E27FC236}">
              <a16:creationId xmlns:a16="http://schemas.microsoft.com/office/drawing/2014/main" id="{E6162F42-3937-77E4-4C3C-2E2ACE899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72" t="70897" r="39630" b="20381"/>
        <a:stretch>
          <a:fillRect/>
        </a:stretch>
      </xdr:blipFill>
      <xdr:spPr bwMode="auto">
        <a:xfrm>
          <a:off x="219075" y="57150"/>
          <a:ext cx="341947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476250</xdr:colOff>
      <xdr:row>713</xdr:row>
      <xdr:rowOff>438150</xdr:rowOff>
    </xdr:from>
    <xdr:ext cx="6232922" cy="220265"/>
    <xdr:pic>
      <xdr:nvPicPr>
        <xdr:cNvPr id="4" name="Picture 3">
          <a:extLst>
            <a:ext uri="{FF2B5EF4-FFF2-40B4-BE49-F238E27FC236}">
              <a16:creationId xmlns:a16="http://schemas.microsoft.com/office/drawing/2014/main" id="{E935B8F0-7E7E-49E2-A588-80327E5316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62250" y="122415300"/>
          <a:ext cx="6232922" cy="220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B8A05-0297-4805-B919-00192C713D24}">
  <dimension ref="A1:X57"/>
  <sheetViews>
    <sheetView tabSelected="1" workbookViewId="0">
      <selection activeCell="J6" sqref="J6"/>
    </sheetView>
  </sheetViews>
  <sheetFormatPr defaultRowHeight="20.100000000000001" customHeight="1" x14ac:dyDescent="0.3"/>
  <cols>
    <col min="1" max="1" width="13.25" style="155" bestFit="1" customWidth="1"/>
    <col min="2" max="2" width="17.25" style="155" bestFit="1" customWidth="1"/>
    <col min="3" max="3" width="10.75" style="177" bestFit="1" customWidth="1"/>
    <col min="4" max="4" width="7" style="177" bestFit="1" customWidth="1"/>
    <col min="5" max="5" width="17.25" style="155" bestFit="1" customWidth="1"/>
    <col min="6" max="6" width="15.125" style="155" bestFit="1" customWidth="1"/>
    <col min="7" max="7" width="12.125" style="155" bestFit="1" customWidth="1"/>
    <col min="8" max="8" width="4.125" style="155" bestFit="1" customWidth="1"/>
    <col min="9" max="9" width="11.5" style="155" bestFit="1" customWidth="1"/>
    <col min="10" max="10" width="22" style="183" bestFit="1" customWidth="1"/>
    <col min="11" max="11" width="9" style="155"/>
    <col min="12" max="12" width="17.5" style="155" bestFit="1" customWidth="1"/>
    <col min="13" max="13" width="11.5" style="155" bestFit="1" customWidth="1"/>
    <col min="14" max="14" width="9" style="155" bestFit="1" customWidth="1"/>
    <col min="15" max="15" width="13.25" style="155" bestFit="1" customWidth="1"/>
    <col min="16" max="16" width="20.75" style="155" bestFit="1" customWidth="1"/>
    <col min="17" max="17" width="10.875" style="155" bestFit="1" customWidth="1"/>
    <col min="18" max="18" width="16.875" style="155" bestFit="1" customWidth="1"/>
    <col min="19" max="20" width="11.25" style="155" bestFit="1" customWidth="1"/>
    <col min="21" max="21" width="10.875" style="155" bestFit="1" customWidth="1"/>
    <col min="22" max="23" width="11" style="155" bestFit="1" customWidth="1"/>
    <col min="24" max="24" width="17.25" style="155" bestFit="1" customWidth="1"/>
    <col min="25" max="16384" width="9" style="155"/>
  </cols>
  <sheetData>
    <row r="1" spans="1:24" ht="20.100000000000001" customHeight="1" x14ac:dyDescent="0.3">
      <c r="A1" s="169" t="s">
        <v>2256</v>
      </c>
      <c r="B1" s="168" t="s">
        <v>2255</v>
      </c>
      <c r="C1" s="170" t="s">
        <v>2254</v>
      </c>
      <c r="D1" s="170" t="s">
        <v>2138</v>
      </c>
      <c r="E1" s="168" t="s">
        <v>2253</v>
      </c>
      <c r="F1" s="168" t="s">
        <v>2253</v>
      </c>
      <c r="G1" s="168" t="s">
        <v>2252</v>
      </c>
      <c r="H1" s="168" t="s">
        <v>2251</v>
      </c>
      <c r="I1" s="168" t="s">
        <v>2250</v>
      </c>
      <c r="J1" s="167" t="s">
        <v>2249</v>
      </c>
    </row>
    <row r="2" spans="1:24" ht="20.100000000000001" customHeight="1" x14ac:dyDescent="0.3">
      <c r="A2" s="166" t="s">
        <v>2248</v>
      </c>
      <c r="B2" s="162" t="s">
        <v>2192</v>
      </c>
      <c r="C2" s="171">
        <v>2412</v>
      </c>
      <c r="D2" s="179">
        <v>1</v>
      </c>
      <c r="E2" s="165" t="s">
        <v>2221</v>
      </c>
      <c r="F2" s="202" t="s">
        <v>2221</v>
      </c>
      <c r="G2" s="202" t="s">
        <v>2216</v>
      </c>
      <c r="H2" s="202" t="s">
        <v>1111</v>
      </c>
      <c r="I2" s="202" t="s">
        <v>2212</v>
      </c>
      <c r="J2" s="180"/>
      <c r="L2" s="81" t="s">
        <v>2192</v>
      </c>
      <c r="M2" s="77" t="s">
        <v>2188</v>
      </c>
      <c r="N2" s="77" t="s">
        <v>2155</v>
      </c>
      <c r="O2" s="77" t="s">
        <v>2177</v>
      </c>
      <c r="P2" s="77" t="s">
        <v>2178</v>
      </c>
      <c r="Q2" s="77" t="s">
        <v>799</v>
      </c>
      <c r="R2" s="77" t="s">
        <v>2175</v>
      </c>
      <c r="S2" s="77" t="s">
        <v>2131</v>
      </c>
      <c r="T2" s="77" t="s">
        <v>801</v>
      </c>
      <c r="U2" s="77" t="s">
        <v>2176</v>
      </c>
      <c r="V2" s="77" t="s">
        <v>2179</v>
      </c>
      <c r="W2" s="77" t="s">
        <v>2180</v>
      </c>
      <c r="X2" s="79" t="s">
        <v>2209</v>
      </c>
    </row>
    <row r="3" spans="1:24" ht="20.100000000000001" customHeight="1" x14ac:dyDescent="0.3">
      <c r="A3" s="161"/>
      <c r="B3" s="160"/>
      <c r="C3" s="172"/>
      <c r="D3" s="175">
        <v>2</v>
      </c>
      <c r="E3" s="159" t="s">
        <v>2155</v>
      </c>
      <c r="F3" s="203" t="s">
        <v>2155</v>
      </c>
      <c r="G3" s="203" t="s">
        <v>2218</v>
      </c>
      <c r="H3" s="203" t="s">
        <v>2212</v>
      </c>
      <c r="I3" s="203" t="s">
        <v>2212</v>
      </c>
      <c r="J3" s="181"/>
      <c r="L3" s="82"/>
      <c r="M3" s="75" t="s">
        <v>2193</v>
      </c>
      <c r="N3" s="75" t="s">
        <v>2190</v>
      </c>
      <c r="O3" s="75" t="s">
        <v>2190</v>
      </c>
      <c r="P3" s="75" t="s">
        <v>2190</v>
      </c>
      <c r="Q3" s="75" t="s">
        <v>2190</v>
      </c>
      <c r="R3" s="75" t="s">
        <v>2195</v>
      </c>
      <c r="S3" s="75" t="s">
        <v>2190</v>
      </c>
      <c r="T3" s="75" t="s">
        <v>2190</v>
      </c>
      <c r="U3" s="75" t="s">
        <v>2193</v>
      </c>
      <c r="V3" s="75" t="s">
        <v>2190</v>
      </c>
      <c r="W3" s="75" t="s">
        <v>2190</v>
      </c>
      <c r="X3" s="80" t="s">
        <v>2206</v>
      </c>
    </row>
    <row r="4" spans="1:24" ht="20.100000000000001" customHeight="1" x14ac:dyDescent="0.3">
      <c r="A4" s="161"/>
      <c r="B4" s="160"/>
      <c r="C4" s="172"/>
      <c r="D4" s="175">
        <v>3</v>
      </c>
      <c r="E4" s="159" t="s">
        <v>2177</v>
      </c>
      <c r="F4" s="203" t="s">
        <v>2177</v>
      </c>
      <c r="G4" s="203" t="s">
        <v>2218</v>
      </c>
      <c r="H4" s="203" t="s">
        <v>2212</v>
      </c>
      <c r="I4" s="203" t="s">
        <v>2212</v>
      </c>
      <c r="J4" s="181"/>
      <c r="L4" s="82"/>
      <c r="M4" s="75" t="s">
        <v>2189</v>
      </c>
      <c r="N4" s="75"/>
      <c r="O4" s="75"/>
      <c r="P4" s="75"/>
      <c r="Q4" s="75"/>
      <c r="R4" s="75"/>
      <c r="S4" s="75"/>
      <c r="T4" s="75"/>
      <c r="U4" s="75"/>
      <c r="V4" s="75"/>
      <c r="W4" s="75"/>
      <c r="X4" s="76" t="s">
        <v>2190</v>
      </c>
    </row>
    <row r="5" spans="1:24" ht="20.100000000000001" customHeight="1" x14ac:dyDescent="0.3">
      <c r="A5" s="161"/>
      <c r="B5" s="160"/>
      <c r="C5" s="172"/>
      <c r="D5" s="175">
        <v>4</v>
      </c>
      <c r="E5" s="159" t="s">
        <v>2178</v>
      </c>
      <c r="F5" s="203" t="s">
        <v>2178</v>
      </c>
      <c r="G5" s="203" t="s">
        <v>2218</v>
      </c>
      <c r="H5" s="203" t="s">
        <v>2212</v>
      </c>
      <c r="I5" s="203" t="s">
        <v>2212</v>
      </c>
      <c r="J5" s="181"/>
      <c r="L5" s="82"/>
      <c r="M5" s="75" t="s">
        <v>2194</v>
      </c>
      <c r="N5" s="75"/>
      <c r="O5" s="75"/>
      <c r="P5" s="75"/>
      <c r="Q5" s="75"/>
      <c r="R5" s="75"/>
      <c r="S5" s="75"/>
      <c r="T5" s="75"/>
      <c r="U5" s="75"/>
      <c r="V5" s="75"/>
      <c r="W5" s="75"/>
      <c r="X5" s="76"/>
    </row>
    <row r="6" spans="1:24" ht="20.100000000000001" customHeight="1" x14ac:dyDescent="0.3">
      <c r="A6" s="161"/>
      <c r="B6" s="160"/>
      <c r="C6" s="172"/>
      <c r="D6" s="175">
        <v>5</v>
      </c>
      <c r="E6" s="159" t="s">
        <v>799</v>
      </c>
      <c r="F6" s="159" t="s">
        <v>799</v>
      </c>
      <c r="G6" s="203" t="s">
        <v>2218</v>
      </c>
      <c r="H6" s="203" t="s">
        <v>2212</v>
      </c>
      <c r="I6" s="203" t="s">
        <v>2212</v>
      </c>
      <c r="J6" s="204"/>
      <c r="L6" s="82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68"/>
    </row>
    <row r="7" spans="1:24" ht="20.100000000000001" customHeight="1" x14ac:dyDescent="0.3">
      <c r="A7" s="161"/>
      <c r="B7" s="160"/>
      <c r="C7" s="172"/>
      <c r="D7" s="175">
        <v>6</v>
      </c>
      <c r="E7" s="159" t="s">
        <v>2247</v>
      </c>
      <c r="F7" s="203" t="s">
        <v>2247</v>
      </c>
      <c r="G7" s="203" t="s">
        <v>2246</v>
      </c>
      <c r="H7" s="203" t="s">
        <v>2212</v>
      </c>
      <c r="I7" s="203" t="s">
        <v>2212</v>
      </c>
      <c r="J7" s="204"/>
      <c r="L7" s="82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68"/>
    </row>
    <row r="8" spans="1:24" ht="20.100000000000001" customHeight="1" x14ac:dyDescent="0.3">
      <c r="A8" s="161"/>
      <c r="B8" s="160"/>
      <c r="C8" s="172"/>
      <c r="D8" s="200">
        <v>7</v>
      </c>
      <c r="E8" s="201" t="s">
        <v>2131</v>
      </c>
      <c r="F8" s="203" t="s">
        <v>799</v>
      </c>
      <c r="G8" s="203" t="s">
        <v>2218</v>
      </c>
      <c r="H8" s="203" t="s">
        <v>2212</v>
      </c>
      <c r="I8" s="203" t="s">
        <v>2212</v>
      </c>
      <c r="J8" s="204"/>
      <c r="L8" s="83"/>
      <c r="M8" s="72"/>
      <c r="N8" s="72"/>
      <c r="O8" s="72"/>
      <c r="P8" s="72"/>
      <c r="Q8" s="72"/>
      <c r="R8" s="72" ph="1"/>
      <c r="S8" s="72" ph="1"/>
      <c r="T8" s="72"/>
      <c r="U8" s="72"/>
      <c r="V8" s="72"/>
      <c r="W8" s="72"/>
      <c r="X8" s="73"/>
    </row>
    <row r="9" spans="1:24" ht="20.100000000000001" customHeight="1" x14ac:dyDescent="0.3">
      <c r="A9" s="161"/>
      <c r="B9" s="160"/>
      <c r="C9" s="172"/>
      <c r="D9" s="175">
        <v>8</v>
      </c>
      <c r="E9" s="159" t="s">
        <v>801</v>
      </c>
      <c r="F9" s="203" t="s">
        <v>801</v>
      </c>
      <c r="G9" s="203" t="s">
        <v>2218</v>
      </c>
      <c r="H9" s="203" t="s">
        <v>2212</v>
      </c>
      <c r="I9" s="203" t="s">
        <v>2212</v>
      </c>
      <c r="J9" s="204"/>
    </row>
    <row r="10" spans="1:24" ht="20.100000000000001" customHeight="1" x14ac:dyDescent="0.3">
      <c r="A10" s="161"/>
      <c r="B10" s="160"/>
      <c r="C10" s="172"/>
      <c r="D10" s="200">
        <v>9</v>
      </c>
      <c r="E10" s="201" t="s">
        <v>2245</v>
      </c>
    </row>
    <row r="11" spans="1:24" ht="20.100000000000001" customHeight="1" x14ac:dyDescent="0.3">
      <c r="A11" s="161"/>
      <c r="B11" s="160"/>
      <c r="C11" s="172"/>
      <c r="D11" s="200">
        <v>10</v>
      </c>
      <c r="E11" s="201" t="s">
        <v>2179</v>
      </c>
      <c r="J11" s="204"/>
    </row>
    <row r="12" spans="1:24" ht="20.100000000000001" customHeight="1" x14ac:dyDescent="0.3">
      <c r="A12" s="161"/>
      <c r="B12" s="160"/>
      <c r="C12" s="172"/>
      <c r="D12" s="200">
        <v>11</v>
      </c>
      <c r="E12" s="201" t="s">
        <v>2180</v>
      </c>
      <c r="F12" s="203"/>
      <c r="G12" s="203"/>
      <c r="H12" s="203"/>
      <c r="I12" s="203"/>
      <c r="J12" s="204"/>
    </row>
    <row r="13" spans="1:24" ht="20.100000000000001" customHeight="1" x14ac:dyDescent="0.3">
      <c r="A13" s="161"/>
      <c r="B13" s="160"/>
      <c r="C13" s="172"/>
      <c r="D13" s="175">
        <v>12</v>
      </c>
      <c r="E13" s="159" t="s">
        <v>2181</v>
      </c>
      <c r="F13" s="203" t="s">
        <v>2181</v>
      </c>
      <c r="G13" s="203" t="s">
        <v>2218</v>
      </c>
      <c r="H13" s="203" t="s">
        <v>2212</v>
      </c>
      <c r="I13" s="203" t="s">
        <v>2212</v>
      </c>
      <c r="J13" s="204"/>
    </row>
    <row r="14" spans="1:24" ht="20.100000000000001" customHeight="1" x14ac:dyDescent="0.3">
      <c r="A14" s="161"/>
      <c r="B14" s="160"/>
      <c r="C14" s="172"/>
      <c r="D14" s="200">
        <v>13</v>
      </c>
      <c r="E14" s="201" t="s">
        <v>2182</v>
      </c>
      <c r="F14" s="203"/>
      <c r="G14" s="203"/>
      <c r="H14" s="203"/>
      <c r="I14" s="203"/>
      <c r="J14" s="204"/>
    </row>
    <row r="15" spans="1:24" ht="20.100000000000001" customHeight="1" x14ac:dyDescent="0.3">
      <c r="A15" s="161"/>
      <c r="B15" s="160"/>
      <c r="C15" s="172"/>
      <c r="D15" s="175">
        <v>14</v>
      </c>
      <c r="E15" s="159" t="s">
        <v>2183</v>
      </c>
      <c r="F15" s="203"/>
      <c r="G15" s="203"/>
      <c r="H15" s="203"/>
      <c r="I15" s="203"/>
      <c r="J15" s="204"/>
    </row>
    <row r="16" spans="1:24" ht="20.100000000000001" customHeight="1" x14ac:dyDescent="0.3">
      <c r="A16" s="161"/>
      <c r="B16" s="160"/>
      <c r="C16" s="172"/>
      <c r="D16" s="175">
        <v>15</v>
      </c>
      <c r="E16" s="159" t="s">
        <v>2215</v>
      </c>
      <c r="F16" s="203" t="s">
        <v>2215</v>
      </c>
      <c r="G16" s="203" t="s">
        <v>2213</v>
      </c>
      <c r="H16" s="203" t="s">
        <v>2212</v>
      </c>
      <c r="I16" s="203" t="s">
        <v>2212</v>
      </c>
      <c r="J16" s="181"/>
    </row>
    <row r="17" spans="1:23" ht="20.100000000000001" customHeight="1" x14ac:dyDescent="0.3">
      <c r="A17" s="161"/>
      <c r="B17" s="160"/>
      <c r="C17" s="173"/>
      <c r="D17" s="175">
        <v>16</v>
      </c>
      <c r="E17" s="159" t="s">
        <v>2257</v>
      </c>
      <c r="F17" s="203" t="s">
        <v>2206</v>
      </c>
      <c r="G17" s="203" t="s">
        <v>2218</v>
      </c>
      <c r="H17" s="203" t="s">
        <v>2212</v>
      </c>
      <c r="I17" s="203" t="s">
        <v>2212</v>
      </c>
      <c r="J17" s="181"/>
    </row>
    <row r="18" spans="1:23" ht="20.100000000000001" customHeight="1" x14ac:dyDescent="0.3">
      <c r="A18" s="161"/>
      <c r="B18" s="160" t="s">
        <v>2244</v>
      </c>
      <c r="C18" s="174">
        <v>11</v>
      </c>
      <c r="D18" s="175">
        <v>1</v>
      </c>
      <c r="E18" s="159" t="s">
        <v>2221</v>
      </c>
      <c r="F18" s="159" t="s">
        <v>2221</v>
      </c>
      <c r="G18" s="159" t="s">
        <v>2216</v>
      </c>
      <c r="H18" s="159" t="s">
        <v>1111</v>
      </c>
      <c r="I18" s="159" t="s">
        <v>2212</v>
      </c>
      <c r="J18" s="181"/>
    </row>
    <row r="19" spans="1:23" ht="20.100000000000001" customHeight="1" x14ac:dyDescent="0.3">
      <c r="A19" s="161"/>
      <c r="B19" s="160"/>
      <c r="C19" s="172"/>
      <c r="D19" s="175">
        <v>2</v>
      </c>
      <c r="E19" s="159" t="s">
        <v>2243</v>
      </c>
      <c r="F19" s="159" t="s">
        <v>2243</v>
      </c>
      <c r="G19" s="159" t="s">
        <v>2218</v>
      </c>
      <c r="H19" s="159" t="s">
        <v>2212</v>
      </c>
      <c r="I19" s="159" t="s">
        <v>1111</v>
      </c>
      <c r="J19" s="181"/>
    </row>
    <row r="20" spans="1:23" ht="20.100000000000001" customHeight="1" x14ac:dyDescent="0.3">
      <c r="A20" s="161"/>
      <c r="B20" s="160"/>
      <c r="C20" s="172"/>
      <c r="D20" s="175">
        <v>3</v>
      </c>
      <c r="E20" s="159" t="s">
        <v>2242</v>
      </c>
      <c r="F20" s="159" t="s">
        <v>2242</v>
      </c>
      <c r="G20" s="159" t="s">
        <v>2216</v>
      </c>
      <c r="H20" s="159" t="s">
        <v>2212</v>
      </c>
      <c r="I20" s="159" t="s">
        <v>2212</v>
      </c>
      <c r="J20" s="181">
        <v>0</v>
      </c>
    </row>
    <row r="21" spans="1:23" ht="20.100000000000001" customHeight="1" x14ac:dyDescent="0.3">
      <c r="A21" s="161"/>
      <c r="B21" s="160"/>
      <c r="C21" s="172"/>
      <c r="D21" s="175">
        <v>4</v>
      </c>
      <c r="E21" s="159" t="s">
        <v>2241</v>
      </c>
      <c r="F21" s="159" t="s">
        <v>2241</v>
      </c>
      <c r="G21" s="159" t="s">
        <v>2218</v>
      </c>
      <c r="H21" s="159" t="s">
        <v>2212</v>
      </c>
      <c r="I21" s="159" t="s">
        <v>2212</v>
      </c>
      <c r="J21" s="181" t="s">
        <v>2240</v>
      </c>
    </row>
    <row r="22" spans="1:23" ht="20.100000000000001" customHeight="1" x14ac:dyDescent="0.3">
      <c r="A22" s="161"/>
      <c r="B22" s="160"/>
      <c r="C22" s="172"/>
      <c r="D22" s="175">
        <v>5</v>
      </c>
      <c r="E22" s="159" t="s">
        <v>2230</v>
      </c>
      <c r="F22" s="159" t="s">
        <v>2230</v>
      </c>
      <c r="G22" s="159" t="s">
        <v>2213</v>
      </c>
      <c r="H22" s="159" t="s">
        <v>2212</v>
      </c>
      <c r="I22" s="159" t="s">
        <v>2212</v>
      </c>
      <c r="J22" s="181" t="s">
        <v>2211</v>
      </c>
    </row>
    <row r="23" spans="1:23" ht="20.100000000000001" customHeight="1" x14ac:dyDescent="0.3">
      <c r="A23" s="161"/>
      <c r="B23" s="160"/>
      <c r="C23" s="173"/>
      <c r="D23" s="175">
        <v>6</v>
      </c>
      <c r="E23" s="159" t="s">
        <v>2214</v>
      </c>
      <c r="F23" s="159" t="s">
        <v>2214</v>
      </c>
      <c r="G23" s="159" t="s">
        <v>2213</v>
      </c>
      <c r="H23" s="159" t="s">
        <v>2212</v>
      </c>
      <c r="I23" s="159" t="s">
        <v>2212</v>
      </c>
      <c r="J23" s="181" t="s">
        <v>2211</v>
      </c>
    </row>
    <row r="24" spans="1:23" ht="20.100000000000001" customHeight="1" x14ac:dyDescent="0.3">
      <c r="A24" s="161"/>
      <c r="B24" s="164" t="s">
        <v>2239</v>
      </c>
      <c r="C24" s="174">
        <v>12</v>
      </c>
      <c r="D24" s="175">
        <v>1</v>
      </c>
      <c r="E24" s="159" t="s">
        <v>2221</v>
      </c>
      <c r="F24" s="159" t="s">
        <v>2221</v>
      </c>
      <c r="G24" s="159" t="s">
        <v>2216</v>
      </c>
      <c r="H24" s="159" t="s">
        <v>1111</v>
      </c>
      <c r="I24" s="159" t="s">
        <v>2212</v>
      </c>
      <c r="J24" s="181"/>
      <c r="L24" s="81" t="s">
        <v>2210</v>
      </c>
      <c r="M24" s="74" t="s">
        <v>2188</v>
      </c>
      <c r="N24" s="69" t="s">
        <v>2184</v>
      </c>
      <c r="O24" s="69" t="s">
        <v>2185</v>
      </c>
      <c r="P24" s="69" t="s">
        <v>2154</v>
      </c>
      <c r="Q24" s="69" t="s">
        <v>2156</v>
      </c>
      <c r="R24" s="69" t="s">
        <v>2168</v>
      </c>
      <c r="S24" s="69" t="s">
        <v>2198</v>
      </c>
      <c r="T24" s="69" t="s">
        <v>2199</v>
      </c>
      <c r="U24" s="69" t="s">
        <v>2186</v>
      </c>
      <c r="V24" s="69" t="s">
        <v>2187</v>
      </c>
      <c r="W24" s="69" t="s">
        <v>2172</v>
      </c>
    </row>
    <row r="25" spans="1:23" ht="20.100000000000001" customHeight="1" x14ac:dyDescent="0.3">
      <c r="A25" s="161"/>
      <c r="B25" s="163"/>
      <c r="C25" s="172"/>
      <c r="D25" s="175">
        <v>2</v>
      </c>
      <c r="E25" s="159" t="s">
        <v>2238</v>
      </c>
      <c r="F25" s="159" t="s">
        <v>2238</v>
      </c>
      <c r="G25" s="159" t="s">
        <v>2218</v>
      </c>
      <c r="H25" s="159" t="s">
        <v>2212</v>
      </c>
      <c r="I25" s="159" t="s">
        <v>1111</v>
      </c>
      <c r="J25" s="181"/>
      <c r="L25" s="82"/>
      <c r="M25" s="75" t="s">
        <v>2193</v>
      </c>
      <c r="N25" s="75"/>
      <c r="O25" s="75" t="s">
        <v>2190</v>
      </c>
      <c r="P25" s="75" t="s">
        <v>2190</v>
      </c>
      <c r="Q25" s="75"/>
      <c r="R25" s="75" t="s">
        <v>2190</v>
      </c>
      <c r="S25" s="75" t="s">
        <v>2190</v>
      </c>
      <c r="T25" s="75" t="s">
        <v>2190</v>
      </c>
      <c r="U25" s="75" t="s">
        <v>2190</v>
      </c>
      <c r="V25" s="75" t="s">
        <v>2193</v>
      </c>
      <c r="W25" s="75" t="s">
        <v>2191</v>
      </c>
    </row>
    <row r="26" spans="1:23" ht="20.100000000000001" customHeight="1" x14ac:dyDescent="0.3">
      <c r="A26" s="161"/>
      <c r="B26" s="163"/>
      <c r="C26" s="172"/>
      <c r="D26" s="175">
        <v>3</v>
      </c>
      <c r="E26" s="159" t="s">
        <v>801</v>
      </c>
      <c r="F26" s="159" t="s">
        <v>801</v>
      </c>
      <c r="G26" s="159" t="s">
        <v>2218</v>
      </c>
      <c r="H26" s="159" t="s">
        <v>2212</v>
      </c>
      <c r="I26" s="159" t="s">
        <v>1111</v>
      </c>
      <c r="J26" s="181"/>
      <c r="L26" s="82"/>
      <c r="M26" s="75" t="s">
        <v>2189</v>
      </c>
      <c r="N26" s="75"/>
      <c r="O26" s="75"/>
      <c r="P26" s="75"/>
      <c r="Q26" s="75"/>
      <c r="R26" s="75"/>
      <c r="S26" s="75"/>
      <c r="T26" s="75"/>
      <c r="U26" s="75"/>
      <c r="V26" s="75"/>
      <c r="W26" s="75"/>
    </row>
    <row r="27" spans="1:23" ht="20.100000000000001" customHeight="1" x14ac:dyDescent="0.3">
      <c r="A27" s="161"/>
      <c r="B27" s="163"/>
      <c r="C27" s="172"/>
      <c r="D27" s="175">
        <v>4</v>
      </c>
      <c r="E27" s="159" t="s">
        <v>2237</v>
      </c>
      <c r="F27" s="159" t="s">
        <v>2237</v>
      </c>
      <c r="G27" s="159" t="s">
        <v>2218</v>
      </c>
      <c r="H27" s="159" t="s">
        <v>2212</v>
      </c>
      <c r="I27" s="159" t="s">
        <v>1111</v>
      </c>
      <c r="J27" s="181"/>
      <c r="L27" s="82"/>
      <c r="M27" s="75" t="s">
        <v>2194</v>
      </c>
      <c r="N27" s="75"/>
      <c r="O27" s="75"/>
      <c r="P27" s="75"/>
      <c r="Q27" s="75"/>
      <c r="R27" s="75"/>
      <c r="S27" s="75"/>
      <c r="T27" s="75"/>
      <c r="U27" s="75"/>
      <c r="V27" s="75"/>
      <c r="W27" s="75"/>
    </row>
    <row r="28" spans="1:23" ht="20.100000000000001" customHeight="1" x14ac:dyDescent="0.3">
      <c r="A28" s="161"/>
      <c r="B28" s="163"/>
      <c r="C28" s="172"/>
      <c r="D28" s="175">
        <v>5</v>
      </c>
      <c r="E28" s="159" t="s">
        <v>2236</v>
      </c>
      <c r="F28" s="159" t="s">
        <v>2236</v>
      </c>
      <c r="G28" s="159" t="s">
        <v>2218</v>
      </c>
      <c r="H28" s="159" t="s">
        <v>2212</v>
      </c>
      <c r="I28" s="159" t="s">
        <v>2212</v>
      </c>
      <c r="J28" s="181"/>
      <c r="L28" s="82"/>
      <c r="M28" s="71"/>
      <c r="N28" s="71" t="s">
        <v>2174</v>
      </c>
      <c r="O28" s="71" t="s">
        <v>2157</v>
      </c>
      <c r="P28" s="71" t="s">
        <v>2158</v>
      </c>
      <c r="Q28" s="71" t="s">
        <v>2196</v>
      </c>
      <c r="R28" s="71" t="s">
        <v>1411</v>
      </c>
      <c r="S28" s="71"/>
      <c r="T28" s="71"/>
      <c r="U28" s="71" t="s">
        <v>2200</v>
      </c>
      <c r="V28" s="71"/>
      <c r="W28" s="71"/>
    </row>
    <row r="29" spans="1:23" ht="20.100000000000001" customHeight="1" x14ac:dyDescent="0.3">
      <c r="A29" s="161"/>
      <c r="B29" s="163"/>
      <c r="C29" s="172"/>
      <c r="D29" s="175">
        <v>6</v>
      </c>
      <c r="E29" s="159" t="s">
        <v>2235</v>
      </c>
      <c r="F29" s="159" t="s">
        <v>2235</v>
      </c>
      <c r="G29" s="159" t="s">
        <v>2218</v>
      </c>
      <c r="H29" s="159" t="s">
        <v>2212</v>
      </c>
      <c r="I29" s="159" t="s">
        <v>2212</v>
      </c>
      <c r="J29" s="181"/>
      <c r="L29" s="82"/>
      <c r="M29" s="71"/>
      <c r="N29" s="71" t="s">
        <v>2174</v>
      </c>
      <c r="O29" s="71" t="s">
        <v>2157</v>
      </c>
      <c r="P29" s="71" t="s">
        <v>2159</v>
      </c>
      <c r="Q29" s="71" t="s">
        <v>2196</v>
      </c>
      <c r="R29" s="71" t="s">
        <v>1419</v>
      </c>
      <c r="S29" s="71"/>
      <c r="T29" s="71"/>
      <c r="U29" s="71" t="s">
        <v>2201</v>
      </c>
      <c r="V29" s="71"/>
      <c r="W29" s="71"/>
    </row>
    <row r="30" spans="1:23" ht="20.100000000000001" customHeight="1" x14ac:dyDescent="0.3">
      <c r="A30" s="161"/>
      <c r="B30" s="163"/>
      <c r="C30" s="172"/>
      <c r="D30" s="175">
        <v>7</v>
      </c>
      <c r="E30" s="159" t="s">
        <v>2234</v>
      </c>
      <c r="F30" s="159" t="s">
        <v>2234</v>
      </c>
      <c r="G30" s="159" t="s">
        <v>2218</v>
      </c>
      <c r="H30" s="159" t="s">
        <v>2212</v>
      </c>
      <c r="I30" s="159" t="s">
        <v>2212</v>
      </c>
      <c r="J30" s="181"/>
      <c r="L30" s="82"/>
      <c r="M30" s="71"/>
      <c r="N30" s="71" t="s">
        <v>2174</v>
      </c>
      <c r="O30" s="71" t="s">
        <v>2160</v>
      </c>
      <c r="P30" s="71" t="s">
        <v>2161</v>
      </c>
      <c r="Q30" s="71" t="s">
        <v>2197</v>
      </c>
      <c r="R30" s="71" t="s">
        <v>1411</v>
      </c>
      <c r="S30" s="71"/>
      <c r="T30" s="71"/>
      <c r="U30" s="71"/>
      <c r="V30" s="71"/>
      <c r="W30" s="71"/>
    </row>
    <row r="31" spans="1:23" ht="20.100000000000001" customHeight="1" x14ac:dyDescent="0.3">
      <c r="A31" s="161"/>
      <c r="B31" s="163"/>
      <c r="C31" s="172"/>
      <c r="D31" s="175">
        <v>8</v>
      </c>
      <c r="E31" s="159" t="s">
        <v>2233</v>
      </c>
      <c r="F31" s="159" t="s">
        <v>2233</v>
      </c>
      <c r="G31" s="159" t="s">
        <v>2216</v>
      </c>
      <c r="H31" s="159" t="s">
        <v>2212</v>
      </c>
      <c r="I31" s="159" t="s">
        <v>2212</v>
      </c>
      <c r="J31" s="181">
        <v>0</v>
      </c>
      <c r="L31" s="82"/>
      <c r="M31" s="71"/>
      <c r="N31" s="71" t="s">
        <v>2174</v>
      </c>
      <c r="O31" s="71" t="s">
        <v>2160</v>
      </c>
      <c r="P31" s="71" t="s">
        <v>2162</v>
      </c>
      <c r="Q31" s="71" t="s">
        <v>2196</v>
      </c>
      <c r="R31" s="71" t="s">
        <v>1411</v>
      </c>
      <c r="S31" s="71"/>
      <c r="T31" s="71"/>
      <c r="U31" s="71"/>
      <c r="V31" s="71"/>
      <c r="W31" s="71"/>
    </row>
    <row r="32" spans="1:23" ht="20.100000000000001" customHeight="1" x14ac:dyDescent="0.3">
      <c r="A32" s="161"/>
      <c r="B32" s="163"/>
      <c r="C32" s="172"/>
      <c r="D32" s="175">
        <v>9</v>
      </c>
      <c r="E32" s="159" t="s">
        <v>2215</v>
      </c>
      <c r="F32" s="159" t="s">
        <v>2215</v>
      </c>
      <c r="G32" s="159" t="s">
        <v>2213</v>
      </c>
      <c r="H32" s="159" t="s">
        <v>2212</v>
      </c>
      <c r="I32" s="159" t="s">
        <v>2212</v>
      </c>
      <c r="J32" s="181" t="s">
        <v>2211</v>
      </c>
      <c r="L32" s="82"/>
      <c r="M32" s="71"/>
      <c r="N32" s="71" t="s">
        <v>2174</v>
      </c>
      <c r="O32" s="71" t="s">
        <v>2163</v>
      </c>
      <c r="P32" s="71" t="s">
        <v>2164</v>
      </c>
      <c r="Q32" s="71" t="s">
        <v>2196</v>
      </c>
      <c r="R32" s="71" t="s">
        <v>1411</v>
      </c>
      <c r="S32" s="71"/>
      <c r="T32" s="71"/>
      <c r="U32" s="71"/>
      <c r="V32" s="71"/>
      <c r="W32" s="71"/>
    </row>
    <row r="33" spans="1:23" ht="20.100000000000001" customHeight="1" x14ac:dyDescent="0.3">
      <c r="A33" s="161"/>
      <c r="B33" s="163"/>
      <c r="C33" s="172"/>
      <c r="D33" s="175">
        <v>10</v>
      </c>
      <c r="E33" s="159" t="s">
        <v>2214</v>
      </c>
      <c r="F33" s="159" t="s">
        <v>2214</v>
      </c>
      <c r="G33" s="159" t="s">
        <v>2213</v>
      </c>
      <c r="H33" s="159" t="s">
        <v>2212</v>
      </c>
      <c r="I33" s="159" t="s">
        <v>2212</v>
      </c>
      <c r="J33" s="181" t="s">
        <v>2211</v>
      </c>
      <c r="L33" s="82"/>
      <c r="M33" s="71"/>
      <c r="N33" s="71" t="s">
        <v>2174</v>
      </c>
      <c r="O33" s="71" t="s">
        <v>2165</v>
      </c>
      <c r="P33" s="71" t="s">
        <v>2166</v>
      </c>
      <c r="Q33" s="71" t="s">
        <v>2197</v>
      </c>
      <c r="R33" s="71" t="s">
        <v>1411</v>
      </c>
      <c r="S33" s="71"/>
      <c r="T33" s="71"/>
      <c r="U33" s="71"/>
      <c r="V33" s="71"/>
      <c r="W33" s="71"/>
    </row>
    <row r="34" spans="1:23" ht="20.100000000000001" customHeight="1" x14ac:dyDescent="0.3">
      <c r="A34" s="161"/>
      <c r="B34" s="162"/>
      <c r="C34" s="173"/>
      <c r="D34" s="197"/>
      <c r="E34" s="198"/>
      <c r="F34" s="198"/>
      <c r="G34" s="198"/>
      <c r="H34" s="198"/>
      <c r="I34" s="198"/>
      <c r="J34" s="199"/>
      <c r="L34" s="82"/>
      <c r="M34" s="71"/>
      <c r="N34" s="71" t="s">
        <v>2174</v>
      </c>
      <c r="O34" s="71" t="s">
        <v>2165</v>
      </c>
      <c r="P34" s="71" t="s">
        <v>2167</v>
      </c>
      <c r="Q34" s="71" t="s">
        <v>2197</v>
      </c>
      <c r="R34" s="71" t="s">
        <v>1411</v>
      </c>
      <c r="S34" s="71"/>
      <c r="T34" s="71"/>
      <c r="U34" s="71"/>
      <c r="V34" s="71"/>
      <c r="W34" s="71"/>
    </row>
    <row r="35" spans="1:23" ht="20.100000000000001" customHeight="1" x14ac:dyDescent="0.3">
      <c r="A35" s="161"/>
      <c r="B35" s="164" t="s">
        <v>2258</v>
      </c>
      <c r="C35" s="174">
        <v>36</v>
      </c>
      <c r="D35" s="175">
        <v>1</v>
      </c>
      <c r="E35" s="159" t="s">
        <v>2206</v>
      </c>
      <c r="F35" s="159" t="s">
        <v>2206</v>
      </c>
      <c r="G35" s="159" t="s">
        <v>2218</v>
      </c>
      <c r="H35" s="159" t="s">
        <v>1111</v>
      </c>
      <c r="I35" s="159" t="s">
        <v>1111</v>
      </c>
      <c r="J35" s="181"/>
      <c r="L35" s="82"/>
    </row>
    <row r="36" spans="1:23" ht="20.100000000000001" customHeight="1" x14ac:dyDescent="0.3">
      <c r="A36" s="161"/>
      <c r="B36" s="163"/>
      <c r="C36" s="172"/>
      <c r="D36" s="175">
        <v>2</v>
      </c>
      <c r="E36" s="159" t="s">
        <v>2181</v>
      </c>
      <c r="F36" s="159" t="s">
        <v>2181</v>
      </c>
      <c r="G36" s="159" t="s">
        <v>2218</v>
      </c>
      <c r="H36" s="159" t="s">
        <v>1111</v>
      </c>
      <c r="I36" s="159" t="s">
        <v>1111</v>
      </c>
      <c r="J36" s="181"/>
    </row>
    <row r="37" spans="1:23" ht="20.100000000000001" customHeight="1" x14ac:dyDescent="0.3">
      <c r="A37" s="161"/>
      <c r="B37" s="163"/>
      <c r="C37" s="172"/>
      <c r="D37" s="175">
        <v>3</v>
      </c>
      <c r="E37" s="159" t="s">
        <v>2232</v>
      </c>
      <c r="F37" s="159" t="s">
        <v>2232</v>
      </c>
      <c r="G37" s="159" t="s">
        <v>2218</v>
      </c>
      <c r="H37" s="159" t="s">
        <v>2212</v>
      </c>
      <c r="I37" s="159" t="s">
        <v>2212</v>
      </c>
      <c r="J37" s="181"/>
    </row>
    <row r="38" spans="1:23" ht="20.100000000000001" customHeight="1" x14ac:dyDescent="0.3">
      <c r="A38" s="161"/>
      <c r="B38" s="163"/>
      <c r="C38" s="172"/>
      <c r="D38" s="175">
        <v>4</v>
      </c>
      <c r="E38" s="159" t="s">
        <v>2231</v>
      </c>
      <c r="F38" s="159" t="s">
        <v>2231</v>
      </c>
      <c r="G38" s="159" t="s">
        <v>2218</v>
      </c>
      <c r="H38" s="159" t="s">
        <v>2212</v>
      </c>
      <c r="I38" s="159" t="s">
        <v>2212</v>
      </c>
      <c r="J38" s="181"/>
    </row>
    <row r="39" spans="1:23" ht="20.100000000000001" customHeight="1" x14ac:dyDescent="0.3">
      <c r="A39" s="161"/>
      <c r="B39" s="163"/>
      <c r="C39" s="172"/>
      <c r="D39" s="175">
        <v>5</v>
      </c>
      <c r="E39" s="159" t="s">
        <v>2230</v>
      </c>
      <c r="F39" s="159" t="s">
        <v>2230</v>
      </c>
      <c r="G39" s="159" t="s">
        <v>2213</v>
      </c>
      <c r="H39" s="159" t="s">
        <v>2212</v>
      </c>
      <c r="I39" s="159" t="s">
        <v>2212</v>
      </c>
      <c r="J39" s="181" t="s">
        <v>2211</v>
      </c>
    </row>
    <row r="40" spans="1:23" ht="20.100000000000001" customHeight="1" x14ac:dyDescent="0.3">
      <c r="A40" s="161"/>
      <c r="B40" s="163"/>
      <c r="C40" s="172"/>
      <c r="D40" s="175">
        <v>6</v>
      </c>
      <c r="E40" s="159" t="s">
        <v>2214</v>
      </c>
      <c r="F40" s="159" t="s">
        <v>2214</v>
      </c>
      <c r="G40" s="159" t="s">
        <v>2213</v>
      </c>
      <c r="H40" s="159" t="s">
        <v>2212</v>
      </c>
      <c r="I40" s="159" t="s">
        <v>2212</v>
      </c>
      <c r="J40" s="181" t="s">
        <v>2211</v>
      </c>
    </row>
    <row r="41" spans="1:23" ht="20.100000000000001" customHeight="1" x14ac:dyDescent="0.3">
      <c r="A41" s="161"/>
      <c r="B41" s="162"/>
      <c r="C41" s="173"/>
      <c r="D41" s="175">
        <v>7</v>
      </c>
      <c r="E41" s="159" t="s">
        <v>2229</v>
      </c>
      <c r="F41" s="159" t="s">
        <v>2229</v>
      </c>
      <c r="G41" s="159" t="s">
        <v>2218</v>
      </c>
      <c r="H41" s="159" t="s">
        <v>2212</v>
      </c>
      <c r="I41" s="159" t="s">
        <v>2212</v>
      </c>
      <c r="J41" s="181"/>
    </row>
    <row r="42" spans="1:23" ht="20.100000000000001" customHeight="1" x14ac:dyDescent="0.3">
      <c r="A42" s="161"/>
      <c r="B42" s="160" t="s">
        <v>2169</v>
      </c>
      <c r="C42" s="174">
        <v>1</v>
      </c>
      <c r="D42" s="175">
        <v>1</v>
      </c>
      <c r="E42" s="159" t="s">
        <v>2221</v>
      </c>
      <c r="F42" s="159" t="s">
        <v>2221</v>
      </c>
      <c r="G42" s="159" t="s">
        <v>2216</v>
      </c>
      <c r="H42" s="159" t="s">
        <v>1111</v>
      </c>
      <c r="I42" s="159" t="s">
        <v>2212</v>
      </c>
      <c r="J42" s="181"/>
      <c r="L42" s="184" t="s">
        <v>2169</v>
      </c>
      <c r="M42" s="74" t="s">
        <v>2188</v>
      </c>
      <c r="N42" s="69" t="s">
        <v>2150</v>
      </c>
      <c r="O42" s="69" t="s">
        <v>2149</v>
      </c>
      <c r="P42" s="69" t="s">
        <v>2170</v>
      </c>
      <c r="Q42" s="69" t="s">
        <v>2151</v>
      </c>
      <c r="R42" s="69" t="s">
        <v>2152</v>
      </c>
      <c r="S42" s="69" t="s">
        <v>2153</v>
      </c>
      <c r="T42" s="69" t="s">
        <v>2171</v>
      </c>
      <c r="U42" s="69" t="s">
        <v>2172</v>
      </c>
      <c r="V42" s="70" t="s">
        <v>2173</v>
      </c>
    </row>
    <row r="43" spans="1:23" ht="20.100000000000001" customHeight="1" x14ac:dyDescent="0.3">
      <c r="A43" s="161"/>
      <c r="B43" s="160"/>
      <c r="C43" s="172"/>
      <c r="D43" s="175">
        <v>2</v>
      </c>
      <c r="E43" s="159" t="s">
        <v>805</v>
      </c>
      <c r="F43" s="159" t="s">
        <v>805</v>
      </c>
      <c r="G43" s="159" t="s">
        <v>2218</v>
      </c>
      <c r="H43" s="159" t="s">
        <v>2212</v>
      </c>
      <c r="I43" s="159" t="s">
        <v>1111</v>
      </c>
      <c r="J43" s="181"/>
      <c r="L43" s="185"/>
      <c r="M43" s="75" t="s">
        <v>2193</v>
      </c>
      <c r="N43" s="75" t="s">
        <v>2190</v>
      </c>
      <c r="O43" s="75" t="s">
        <v>2190</v>
      </c>
      <c r="P43" s="75" t="s">
        <v>2190</v>
      </c>
      <c r="Q43" s="75" t="s">
        <v>2190</v>
      </c>
      <c r="R43" s="75" t="s">
        <v>2190</v>
      </c>
      <c r="S43" s="75" t="s">
        <v>2190</v>
      </c>
      <c r="T43" s="75" t="s">
        <v>2190</v>
      </c>
      <c r="U43" s="75" t="s">
        <v>2191</v>
      </c>
      <c r="V43" s="76" t="s">
        <v>2191</v>
      </c>
    </row>
    <row r="44" spans="1:23" ht="20.100000000000001" customHeight="1" x14ac:dyDescent="0.3">
      <c r="A44" s="161"/>
      <c r="B44" s="160"/>
      <c r="C44" s="172"/>
      <c r="D44" s="175">
        <v>3</v>
      </c>
      <c r="E44" s="159" t="s">
        <v>2228</v>
      </c>
      <c r="F44" s="159" t="s">
        <v>2228</v>
      </c>
      <c r="G44" s="159" t="s">
        <v>2218</v>
      </c>
      <c r="H44" s="159" t="s">
        <v>2212</v>
      </c>
      <c r="I44" s="159" t="s">
        <v>2212</v>
      </c>
      <c r="J44" s="181"/>
      <c r="L44" s="185"/>
      <c r="M44" s="75" t="s">
        <v>2189</v>
      </c>
      <c r="N44" s="75"/>
      <c r="O44" s="75"/>
      <c r="P44" s="75"/>
      <c r="Q44" s="75"/>
      <c r="R44" s="75"/>
      <c r="S44" s="75"/>
      <c r="T44" s="75"/>
      <c r="U44" s="75"/>
      <c r="V44" s="76"/>
    </row>
    <row r="45" spans="1:23" ht="20.100000000000001" customHeight="1" x14ac:dyDescent="0.3">
      <c r="A45" s="161"/>
      <c r="B45" s="160"/>
      <c r="C45" s="172"/>
      <c r="D45" s="175">
        <v>4</v>
      </c>
      <c r="E45" s="159" t="s">
        <v>2227</v>
      </c>
      <c r="F45" s="159" t="s">
        <v>2227</v>
      </c>
      <c r="G45" s="159" t="s">
        <v>2218</v>
      </c>
      <c r="H45" s="159" t="s">
        <v>2212</v>
      </c>
      <c r="I45" s="159" t="s">
        <v>2212</v>
      </c>
      <c r="J45" s="181"/>
      <c r="L45" s="185"/>
      <c r="M45" s="75" t="s">
        <v>2194</v>
      </c>
      <c r="N45" s="75"/>
      <c r="O45" s="75"/>
      <c r="P45" s="75"/>
      <c r="Q45" s="75"/>
      <c r="R45" s="75"/>
      <c r="S45" s="75"/>
      <c r="T45" s="75"/>
      <c r="U45" s="75"/>
      <c r="V45" s="76"/>
    </row>
    <row r="46" spans="1:23" ht="20.100000000000001" customHeight="1" x14ac:dyDescent="0.3">
      <c r="A46" s="161"/>
      <c r="B46" s="160"/>
      <c r="C46" s="172"/>
      <c r="D46" s="175">
        <v>5</v>
      </c>
      <c r="E46" s="159" t="s">
        <v>2226</v>
      </c>
      <c r="F46" s="159" t="s">
        <v>2226</v>
      </c>
      <c r="G46" s="159" t="s">
        <v>2218</v>
      </c>
      <c r="H46" s="159" t="s">
        <v>2212</v>
      </c>
      <c r="I46" s="159" t="s">
        <v>2212</v>
      </c>
      <c r="J46" s="181"/>
      <c r="L46" s="185"/>
      <c r="M46" s="71"/>
      <c r="N46" s="71"/>
      <c r="O46" s="71"/>
      <c r="P46" s="71"/>
      <c r="Q46" s="71"/>
      <c r="R46" s="71"/>
      <c r="S46" s="71"/>
      <c r="T46" s="71"/>
      <c r="U46" s="71"/>
      <c r="V46" s="68"/>
    </row>
    <row r="47" spans="1:23" ht="20.100000000000001" customHeight="1" x14ac:dyDescent="0.3">
      <c r="A47" s="161"/>
      <c r="B47" s="160"/>
      <c r="C47" s="172"/>
      <c r="D47" s="175">
        <v>6</v>
      </c>
      <c r="E47" s="159" t="s">
        <v>2225</v>
      </c>
      <c r="F47" s="159" t="s">
        <v>2225</v>
      </c>
      <c r="G47" s="159" t="s">
        <v>2218</v>
      </c>
      <c r="H47" s="159" t="s">
        <v>2212</v>
      </c>
      <c r="I47" s="159" t="s">
        <v>2212</v>
      </c>
      <c r="J47" s="181"/>
      <c r="L47" s="185"/>
      <c r="M47" s="71"/>
      <c r="N47" s="71"/>
      <c r="O47" s="71"/>
      <c r="P47" s="71"/>
      <c r="Q47" s="71"/>
      <c r="R47" s="71"/>
      <c r="S47" s="71"/>
      <c r="T47" s="71"/>
      <c r="U47" s="71"/>
      <c r="V47" s="68"/>
    </row>
    <row r="48" spans="1:23" ht="20.100000000000001" customHeight="1" x14ac:dyDescent="0.3">
      <c r="A48" s="161"/>
      <c r="B48" s="160"/>
      <c r="C48" s="172"/>
      <c r="D48" s="175">
        <v>7</v>
      </c>
      <c r="E48" s="159" t="s">
        <v>2224</v>
      </c>
      <c r="F48" s="159" t="s">
        <v>2224</v>
      </c>
      <c r="G48" s="159" t="s">
        <v>2218</v>
      </c>
      <c r="H48" s="159" t="s">
        <v>2212</v>
      </c>
      <c r="I48" s="159" t="s">
        <v>2212</v>
      </c>
      <c r="J48" s="181"/>
      <c r="L48" s="185"/>
      <c r="M48" s="71"/>
      <c r="N48" s="71"/>
      <c r="O48" s="71"/>
      <c r="P48" s="71"/>
      <c r="Q48" s="71"/>
      <c r="R48" s="71"/>
      <c r="S48" s="71"/>
      <c r="T48" s="71"/>
      <c r="U48" s="71"/>
      <c r="V48" s="68"/>
    </row>
    <row r="49" spans="1:22" ht="20.100000000000001" customHeight="1" x14ac:dyDescent="0.3">
      <c r="A49" s="161"/>
      <c r="B49" s="160"/>
      <c r="C49" s="172"/>
      <c r="D49" s="175">
        <v>8</v>
      </c>
      <c r="E49" s="159" t="s">
        <v>2223</v>
      </c>
      <c r="F49" s="159" t="s">
        <v>2223</v>
      </c>
      <c r="G49" s="159" t="s">
        <v>2218</v>
      </c>
      <c r="H49" s="159" t="s">
        <v>2212</v>
      </c>
      <c r="I49" s="159" t="s">
        <v>2212</v>
      </c>
      <c r="J49" s="181"/>
      <c r="L49" s="186"/>
      <c r="M49" s="72"/>
      <c r="N49" s="72"/>
      <c r="O49" s="72"/>
      <c r="P49" s="72"/>
      <c r="Q49" s="72"/>
      <c r="R49" s="72"/>
      <c r="S49" s="72"/>
      <c r="T49" s="72"/>
      <c r="U49" s="72"/>
      <c r="V49" s="73"/>
    </row>
    <row r="50" spans="1:22" ht="20.100000000000001" customHeight="1" x14ac:dyDescent="0.3">
      <c r="A50" s="161"/>
      <c r="B50" s="160"/>
      <c r="C50" s="172"/>
      <c r="D50" s="175">
        <v>9</v>
      </c>
      <c r="E50" s="159" t="s">
        <v>2215</v>
      </c>
      <c r="F50" s="159" t="s">
        <v>2215</v>
      </c>
      <c r="G50" s="159" t="s">
        <v>2213</v>
      </c>
      <c r="H50" s="159" t="s">
        <v>2212</v>
      </c>
      <c r="I50" s="159" t="s">
        <v>2212</v>
      </c>
      <c r="J50" s="181" t="s">
        <v>2211</v>
      </c>
    </row>
    <row r="51" spans="1:22" ht="20.100000000000001" customHeight="1" x14ac:dyDescent="0.3">
      <c r="A51" s="161"/>
      <c r="B51" s="160"/>
      <c r="C51" s="173"/>
      <c r="D51" s="175">
        <v>10</v>
      </c>
      <c r="E51" s="159" t="s">
        <v>2214</v>
      </c>
      <c r="F51" s="159" t="s">
        <v>2214</v>
      </c>
      <c r="G51" s="159" t="s">
        <v>2213</v>
      </c>
      <c r="H51" s="159" t="s">
        <v>2212</v>
      </c>
      <c r="I51" s="159" t="s">
        <v>2212</v>
      </c>
      <c r="J51" s="181" t="s">
        <v>2211</v>
      </c>
    </row>
    <row r="52" spans="1:22" ht="20.100000000000001" customHeight="1" x14ac:dyDescent="0.3">
      <c r="A52" s="161"/>
      <c r="B52" s="160" t="s">
        <v>2222</v>
      </c>
      <c r="C52" s="174">
        <v>47</v>
      </c>
      <c r="D52" s="175">
        <v>1</v>
      </c>
      <c r="E52" s="159" t="s">
        <v>2221</v>
      </c>
      <c r="F52" s="159" t="s">
        <v>2221</v>
      </c>
      <c r="G52" s="159" t="s">
        <v>2216</v>
      </c>
      <c r="H52" s="159" t="s">
        <v>1111</v>
      </c>
      <c r="I52" s="159" t="s">
        <v>2212</v>
      </c>
      <c r="J52" s="181"/>
      <c r="L52" s="81" t="s">
        <v>2207</v>
      </c>
      <c r="M52" s="78" t="s">
        <v>2203</v>
      </c>
      <c r="N52" s="78" t="s">
        <v>2204</v>
      </c>
      <c r="O52" s="78" t="s">
        <v>2208</v>
      </c>
      <c r="P52" s="78" t="s">
        <v>2172</v>
      </c>
      <c r="Q52" s="78" t="s">
        <v>2173</v>
      </c>
      <c r="R52" s="78" t="s">
        <v>2202</v>
      </c>
      <c r="S52" s="79"/>
    </row>
    <row r="53" spans="1:22" ht="20.100000000000001" customHeight="1" x14ac:dyDescent="0.3">
      <c r="A53" s="161"/>
      <c r="B53" s="160"/>
      <c r="C53" s="172"/>
      <c r="D53" s="175">
        <v>2</v>
      </c>
      <c r="E53" s="159" t="s">
        <v>2220</v>
      </c>
      <c r="F53" s="159" t="s">
        <v>2220</v>
      </c>
      <c r="G53" s="159" t="s">
        <v>2218</v>
      </c>
      <c r="H53" s="159" t="s">
        <v>2212</v>
      </c>
      <c r="I53" s="159" t="s">
        <v>1111</v>
      </c>
      <c r="J53" s="181"/>
      <c r="L53" s="82"/>
      <c r="M53" s="75" t="s">
        <v>2190</v>
      </c>
      <c r="N53" s="75" t="s">
        <v>2190</v>
      </c>
      <c r="O53" s="75" t="s">
        <v>2190</v>
      </c>
      <c r="P53" s="75" t="s">
        <v>2191</v>
      </c>
      <c r="Q53" s="75" t="s">
        <v>2191</v>
      </c>
      <c r="R53" s="75" t="s">
        <v>2205</v>
      </c>
      <c r="S53" s="76"/>
    </row>
    <row r="54" spans="1:22" ht="20.100000000000001" customHeight="1" x14ac:dyDescent="0.3">
      <c r="A54" s="161"/>
      <c r="B54" s="160"/>
      <c r="C54" s="172"/>
      <c r="D54" s="175">
        <v>3</v>
      </c>
      <c r="E54" s="159" t="s">
        <v>2219</v>
      </c>
      <c r="F54" s="159" t="s">
        <v>2219</v>
      </c>
      <c r="G54" s="159" t="s">
        <v>2218</v>
      </c>
      <c r="H54" s="159" t="s">
        <v>2212</v>
      </c>
      <c r="I54" s="159" t="s">
        <v>1111</v>
      </c>
      <c r="J54" s="181"/>
      <c r="L54" s="82"/>
      <c r="M54" s="71"/>
      <c r="N54" s="71"/>
      <c r="O54" s="71"/>
      <c r="P54" s="71"/>
      <c r="Q54" s="71"/>
      <c r="R54" s="71"/>
      <c r="S54" s="68"/>
    </row>
    <row r="55" spans="1:22" ht="20.100000000000001" customHeight="1" x14ac:dyDescent="0.3">
      <c r="A55" s="161"/>
      <c r="B55" s="160"/>
      <c r="C55" s="172"/>
      <c r="D55" s="175">
        <v>4</v>
      </c>
      <c r="E55" s="159" t="s">
        <v>2217</v>
      </c>
      <c r="F55" s="159" t="s">
        <v>2217</v>
      </c>
      <c r="G55" s="159" t="s">
        <v>2216</v>
      </c>
      <c r="H55" s="159" t="s">
        <v>2212</v>
      </c>
      <c r="I55" s="159" t="s">
        <v>2212</v>
      </c>
      <c r="J55" s="181">
        <v>0</v>
      </c>
      <c r="L55" s="82"/>
      <c r="M55" s="71"/>
      <c r="N55" s="71"/>
      <c r="O55" s="71"/>
      <c r="P55" s="71"/>
      <c r="Q55" s="71"/>
      <c r="R55" s="71"/>
      <c r="S55" s="68"/>
    </row>
    <row r="56" spans="1:22" ht="20.100000000000001" customHeight="1" x14ac:dyDescent="0.3">
      <c r="A56" s="161"/>
      <c r="B56" s="160"/>
      <c r="C56" s="172"/>
      <c r="D56" s="175">
        <v>5</v>
      </c>
      <c r="E56" s="159" t="s">
        <v>2215</v>
      </c>
      <c r="F56" s="159" t="s">
        <v>2215</v>
      </c>
      <c r="G56" s="159" t="s">
        <v>2213</v>
      </c>
      <c r="H56" s="159" t="s">
        <v>2212</v>
      </c>
      <c r="I56" s="159" t="s">
        <v>2212</v>
      </c>
      <c r="J56" s="181" t="s">
        <v>2211</v>
      </c>
      <c r="L56" s="82"/>
      <c r="M56" s="71"/>
      <c r="N56" s="71"/>
      <c r="O56" s="71"/>
      <c r="P56" s="71"/>
      <c r="Q56" s="71"/>
      <c r="R56" s="71"/>
      <c r="S56" s="68"/>
    </row>
    <row r="57" spans="1:22" ht="20.100000000000001" customHeight="1" x14ac:dyDescent="0.3">
      <c r="A57" s="158"/>
      <c r="B57" s="157"/>
      <c r="C57" s="178"/>
      <c r="D57" s="176">
        <v>6</v>
      </c>
      <c r="E57" s="156" t="s">
        <v>2214</v>
      </c>
      <c r="F57" s="156" t="s">
        <v>2214</v>
      </c>
      <c r="G57" s="156" t="s">
        <v>2213</v>
      </c>
      <c r="H57" s="156" t="s">
        <v>2212</v>
      </c>
      <c r="I57" s="156" t="s">
        <v>2212</v>
      </c>
      <c r="J57" s="182" t="s">
        <v>2211</v>
      </c>
      <c r="L57" s="83"/>
      <c r="M57" s="72"/>
      <c r="N57" s="72"/>
      <c r="O57" s="72"/>
      <c r="P57" s="72"/>
      <c r="Q57" s="72"/>
      <c r="R57" s="72"/>
      <c r="S57" s="73"/>
    </row>
  </sheetData>
  <mergeCells count="17">
    <mergeCell ref="L2:L8"/>
    <mergeCell ref="L52:L57"/>
    <mergeCell ref="B24:B34"/>
    <mergeCell ref="C24:C34"/>
    <mergeCell ref="C35:C41"/>
    <mergeCell ref="C42:C51"/>
    <mergeCell ref="C52:C57"/>
    <mergeCell ref="L42:L49"/>
    <mergeCell ref="L24:L35"/>
    <mergeCell ref="A2:A57"/>
    <mergeCell ref="C2:C17"/>
    <mergeCell ref="C18:C23"/>
    <mergeCell ref="B35:B41"/>
    <mergeCell ref="B2:B17"/>
    <mergeCell ref="B18:B23"/>
    <mergeCell ref="B42:B51"/>
    <mergeCell ref="B52:B57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441B0-1B31-47FF-8DC2-97B86E42F2B5}">
  <dimension ref="A1:W14"/>
  <sheetViews>
    <sheetView workbookViewId="0">
      <selection activeCell="J9" sqref="J9"/>
    </sheetView>
  </sheetViews>
  <sheetFormatPr defaultRowHeight="27.95" customHeight="1" x14ac:dyDescent="0.3"/>
  <cols>
    <col min="1" max="1" width="9.25" style="191" bestFit="1" customWidth="1"/>
    <col min="2" max="2" width="5.25" style="50" bestFit="1" customWidth="1"/>
    <col min="3" max="3" width="9.25" style="191" bestFit="1" customWidth="1"/>
    <col min="4" max="4" width="5.5" style="191" bestFit="1" customWidth="1"/>
    <col min="5" max="5" width="9.25" style="191" bestFit="1" customWidth="1"/>
    <col min="6" max="7" width="7.125" style="50" bestFit="1" customWidth="1"/>
    <col min="8" max="8" width="9" style="50" bestFit="1" customWidth="1"/>
    <col min="9" max="9" width="9.25" style="191" bestFit="1" customWidth="1"/>
    <col min="10" max="10" width="11.25" style="191" bestFit="1" customWidth="1"/>
    <col min="11" max="11" width="9" style="50"/>
    <col min="12" max="12" width="9.25" style="191" bestFit="1" customWidth="1"/>
    <col min="13" max="14" width="9" style="50"/>
    <col min="15" max="15" width="9.25" style="191" bestFit="1" customWidth="1"/>
    <col min="16" max="16" width="17.5" style="191" bestFit="1" customWidth="1"/>
    <col min="17" max="17" width="9" style="50"/>
    <col min="18" max="18" width="11" style="50" bestFit="1" customWidth="1"/>
    <col min="19" max="19" width="9" style="50" bestFit="1" customWidth="1"/>
    <col min="20" max="20" width="9" style="50"/>
    <col min="21" max="22" width="7.125" style="50" bestFit="1" customWidth="1"/>
    <col min="23" max="23" width="35.25" style="44" bestFit="1" customWidth="1"/>
    <col min="24" max="24" width="11" style="44" bestFit="1" customWidth="1"/>
    <col min="25" max="25" width="9" style="44"/>
    <col min="26" max="26" width="17.25" style="44" bestFit="1" customWidth="1"/>
    <col min="27" max="27" width="7.125" style="44" bestFit="1" customWidth="1"/>
    <col min="28" max="33" width="9" style="44"/>
    <col min="34" max="34" width="7.125" style="44" bestFit="1" customWidth="1"/>
    <col min="35" max="16384" width="9" style="44"/>
  </cols>
  <sheetData>
    <row r="1" spans="1:23" ht="27.95" customHeight="1" x14ac:dyDescent="0.3">
      <c r="A1" s="187" t="s">
        <v>2139</v>
      </c>
      <c r="B1" s="46" t="s">
        <v>2138</v>
      </c>
      <c r="C1" s="192" t="s">
        <v>801</v>
      </c>
      <c r="D1" s="192"/>
      <c r="E1" s="192" t="s">
        <v>2136</v>
      </c>
      <c r="F1" s="46" t="s">
        <v>2137</v>
      </c>
      <c r="G1" s="46"/>
      <c r="H1" s="46" t="s">
        <v>2135</v>
      </c>
      <c r="I1" s="192" t="s">
        <v>1401</v>
      </c>
      <c r="J1" s="192" t="s">
        <v>2134</v>
      </c>
      <c r="K1" s="46" t="s">
        <v>2133</v>
      </c>
      <c r="L1" s="192" t="s">
        <v>797</v>
      </c>
      <c r="M1" s="46" t="s">
        <v>2132</v>
      </c>
      <c r="N1" s="46" t="s">
        <v>2131</v>
      </c>
      <c r="O1" s="192" t="s">
        <v>799</v>
      </c>
      <c r="P1" s="192" t="s">
        <v>2130</v>
      </c>
      <c r="Q1" s="46"/>
      <c r="R1" s="46"/>
      <c r="S1" s="47"/>
      <c r="T1" s="46"/>
      <c r="U1" s="46"/>
      <c r="V1" s="46"/>
    </row>
    <row r="2" spans="1:23" ht="27.95" customHeight="1" x14ac:dyDescent="0.3">
      <c r="A2" s="188"/>
      <c r="B2" s="60"/>
      <c r="C2" s="193"/>
      <c r="D2" s="193"/>
      <c r="E2" s="193"/>
      <c r="F2" s="60"/>
      <c r="G2" s="60"/>
      <c r="H2" s="45"/>
      <c r="I2" s="193" t="s">
        <v>2129</v>
      </c>
      <c r="J2" s="193"/>
      <c r="K2" s="60"/>
      <c r="L2" s="193"/>
      <c r="M2" s="45"/>
      <c r="N2" s="45"/>
      <c r="O2" s="193"/>
      <c r="P2" s="193"/>
      <c r="Q2" s="45"/>
      <c r="R2" s="45"/>
      <c r="S2" s="48"/>
      <c r="T2" s="45"/>
      <c r="U2" s="45"/>
      <c r="V2" s="45"/>
    </row>
    <row r="3" spans="1:23" ht="27.95" customHeight="1" x14ac:dyDescent="0.3">
      <c r="A3" s="188"/>
      <c r="B3" s="60"/>
      <c r="C3" s="193"/>
      <c r="D3" s="193"/>
      <c r="E3" s="193"/>
      <c r="G3" s="60"/>
      <c r="H3" s="45"/>
      <c r="I3" s="193" t="s">
        <v>2145</v>
      </c>
      <c r="J3" s="193"/>
      <c r="K3" s="60"/>
      <c r="L3" s="193" t="s">
        <v>2144</v>
      </c>
      <c r="M3" s="45"/>
      <c r="N3" s="45"/>
      <c r="O3" s="193"/>
      <c r="P3" s="193"/>
      <c r="Q3" s="45"/>
      <c r="R3" s="45"/>
      <c r="S3" s="48"/>
      <c r="T3" s="45"/>
      <c r="U3" s="45"/>
      <c r="V3" s="45"/>
    </row>
    <row r="4" spans="1:23" ht="27.95" customHeight="1" x14ac:dyDescent="0.3">
      <c r="A4" s="189" t="s">
        <v>2128</v>
      </c>
      <c r="B4" s="49"/>
      <c r="C4" s="194" t="s">
        <v>801</v>
      </c>
      <c r="D4" s="194"/>
      <c r="E4" s="194" t="s">
        <v>803</v>
      </c>
      <c r="F4" s="61"/>
      <c r="G4" s="49" t="s">
        <v>802</v>
      </c>
      <c r="H4" s="49"/>
      <c r="I4" s="194"/>
      <c r="J4" s="194" t="s">
        <v>800</v>
      </c>
      <c r="K4" s="49"/>
      <c r="L4" s="194" t="s">
        <v>797</v>
      </c>
      <c r="M4" s="49"/>
      <c r="N4" s="49"/>
      <c r="O4" s="194" t="s">
        <v>799</v>
      </c>
      <c r="P4" s="194" t="s">
        <v>798</v>
      </c>
      <c r="Q4" s="49" t="s">
        <v>617</v>
      </c>
      <c r="R4" s="49"/>
      <c r="S4" s="51"/>
      <c r="T4" s="49" t="s">
        <v>796</v>
      </c>
      <c r="U4" s="49" t="s">
        <v>795</v>
      </c>
      <c r="V4" s="49" t="s">
        <v>794</v>
      </c>
    </row>
    <row r="5" spans="1:23" ht="27.95" customHeight="1" x14ac:dyDescent="0.3">
      <c r="A5" s="188"/>
      <c r="B5" s="45"/>
      <c r="C5" s="193"/>
      <c r="D5" s="193"/>
      <c r="E5" s="193"/>
      <c r="F5" s="45"/>
      <c r="G5" s="45"/>
      <c r="H5" s="45"/>
      <c r="I5" s="193"/>
      <c r="J5" s="196" t="s">
        <v>2127</v>
      </c>
      <c r="K5" s="45"/>
      <c r="L5" s="193" t="s">
        <v>2144</v>
      </c>
      <c r="M5" s="45"/>
      <c r="N5" s="45"/>
      <c r="O5" s="193"/>
      <c r="P5" s="193"/>
      <c r="Q5" s="45" t="s">
        <v>2126</v>
      </c>
      <c r="R5" s="45"/>
      <c r="S5" s="48"/>
      <c r="T5" s="45"/>
      <c r="U5" s="45"/>
      <c r="V5" s="45"/>
    </row>
    <row r="6" spans="1:23" ht="27.95" customHeight="1" x14ac:dyDescent="0.3">
      <c r="A6" s="188"/>
      <c r="B6" s="45"/>
      <c r="C6" s="193"/>
      <c r="D6" s="193"/>
      <c r="E6" s="193"/>
      <c r="F6" s="45"/>
      <c r="G6" s="45"/>
      <c r="H6" s="45"/>
      <c r="I6" s="193"/>
      <c r="J6" s="196" t="s">
        <v>2125</v>
      </c>
      <c r="K6" s="45"/>
      <c r="L6" s="193"/>
      <c r="M6" s="45"/>
      <c r="N6" s="45"/>
      <c r="O6" s="193"/>
      <c r="P6" s="193"/>
      <c r="Q6" s="45" t="s">
        <v>2124</v>
      </c>
      <c r="R6" s="45"/>
      <c r="S6" s="48"/>
      <c r="T6" s="45"/>
      <c r="U6" s="45"/>
      <c r="V6" s="45"/>
    </row>
    <row r="7" spans="1:23" ht="27.95" customHeight="1" x14ac:dyDescent="0.3">
      <c r="A7" s="188"/>
      <c r="B7" s="45"/>
      <c r="C7" s="193"/>
      <c r="D7" s="193"/>
      <c r="E7" s="193"/>
      <c r="F7" s="45"/>
      <c r="G7" s="45"/>
      <c r="H7" s="45"/>
      <c r="I7" s="193"/>
      <c r="J7" s="196" t="s">
        <v>2123</v>
      </c>
      <c r="K7" s="45"/>
      <c r="L7" s="193"/>
      <c r="M7" s="45"/>
      <c r="N7" s="45"/>
      <c r="O7" s="193"/>
      <c r="P7" s="193"/>
      <c r="Q7" s="45" t="s">
        <v>2122</v>
      </c>
      <c r="R7" s="45"/>
      <c r="S7" s="48"/>
      <c r="T7" s="45"/>
      <c r="U7" s="45"/>
      <c r="V7" s="45"/>
    </row>
    <row r="8" spans="1:23" ht="27.95" customHeight="1" x14ac:dyDescent="0.3">
      <c r="A8" s="188"/>
      <c r="B8" s="45"/>
      <c r="C8" s="193"/>
      <c r="D8" s="193"/>
      <c r="E8" s="193"/>
      <c r="F8" s="45"/>
      <c r="G8" s="45"/>
      <c r="H8" s="45"/>
      <c r="I8" s="193"/>
      <c r="J8" s="196" t="s">
        <v>2121</v>
      </c>
      <c r="K8" s="45"/>
      <c r="L8" s="193"/>
      <c r="M8" s="45"/>
      <c r="N8" s="45"/>
      <c r="O8" s="193"/>
      <c r="P8" s="193"/>
      <c r="Q8" s="45" t="s">
        <v>644</v>
      </c>
      <c r="R8" s="45"/>
      <c r="S8" s="48"/>
      <c r="T8" s="45"/>
      <c r="U8" s="45"/>
      <c r="V8" s="45"/>
    </row>
    <row r="9" spans="1:23" ht="27.95" customHeight="1" x14ac:dyDescent="0.3">
      <c r="A9" s="188"/>
      <c r="B9" s="45"/>
      <c r="C9" s="193"/>
      <c r="D9" s="193"/>
      <c r="E9" s="193"/>
      <c r="F9" s="45"/>
      <c r="G9" s="45"/>
      <c r="H9" s="45"/>
      <c r="I9" s="193"/>
      <c r="J9" s="196" t="s">
        <v>2120</v>
      </c>
      <c r="K9" s="45"/>
      <c r="L9" s="193"/>
      <c r="M9" s="45"/>
      <c r="N9" s="45"/>
      <c r="O9" s="193"/>
      <c r="P9" s="193"/>
      <c r="Q9" s="45"/>
      <c r="R9" s="45"/>
      <c r="S9" s="48"/>
      <c r="T9" s="45"/>
      <c r="U9" s="45"/>
      <c r="V9" s="45"/>
    </row>
    <row r="10" spans="1:23" ht="27.95" customHeight="1" x14ac:dyDescent="0.3">
      <c r="A10" s="189" t="s">
        <v>2119</v>
      </c>
      <c r="B10" s="49"/>
      <c r="C10" s="194" t="s">
        <v>801</v>
      </c>
      <c r="D10" s="194" t="s">
        <v>2110</v>
      </c>
      <c r="E10" s="194" t="s">
        <v>2112</v>
      </c>
      <c r="F10" s="49"/>
      <c r="G10" s="49"/>
      <c r="H10" s="49"/>
      <c r="I10" s="194"/>
      <c r="J10" s="194" t="s">
        <v>1403</v>
      </c>
      <c r="K10" s="49"/>
      <c r="L10" s="194" t="s">
        <v>2111</v>
      </c>
      <c r="M10" s="49"/>
      <c r="N10" s="49"/>
      <c r="O10" s="194" t="s">
        <v>799</v>
      </c>
      <c r="P10" s="194" t="s">
        <v>798</v>
      </c>
      <c r="Q10" s="49"/>
      <c r="R10" s="49"/>
      <c r="S10" s="51"/>
      <c r="T10" s="49"/>
      <c r="U10" s="49"/>
      <c r="V10" s="49"/>
    </row>
    <row r="11" spans="1:23" ht="27.95" customHeight="1" x14ac:dyDescent="0.3">
      <c r="A11" s="188"/>
      <c r="B11" s="45"/>
      <c r="C11" s="193"/>
      <c r="D11" s="193" t="s">
        <v>2140</v>
      </c>
      <c r="E11" s="193"/>
      <c r="F11" s="45"/>
      <c r="G11" s="45"/>
      <c r="H11" s="45"/>
      <c r="I11" s="193"/>
      <c r="J11" s="193"/>
      <c r="K11" s="45"/>
      <c r="L11" s="193" t="s">
        <v>2144</v>
      </c>
      <c r="M11" s="45"/>
      <c r="N11" s="45"/>
      <c r="O11" s="193"/>
      <c r="P11" s="193"/>
      <c r="Q11" s="45"/>
      <c r="R11" s="45"/>
      <c r="S11" s="48"/>
      <c r="T11" s="45"/>
      <c r="U11" s="45"/>
      <c r="V11" s="45"/>
    </row>
    <row r="12" spans="1:23" ht="27.95" customHeight="1" x14ac:dyDescent="0.3">
      <c r="A12" s="188"/>
      <c r="B12" s="45"/>
      <c r="C12" s="193"/>
      <c r="D12" s="193" t="s">
        <v>2141</v>
      </c>
      <c r="E12" s="193"/>
      <c r="F12" s="45"/>
      <c r="G12" s="45"/>
      <c r="H12" s="45"/>
      <c r="I12" s="193"/>
      <c r="J12" s="193"/>
      <c r="K12" s="45"/>
      <c r="L12" s="193"/>
      <c r="M12" s="45"/>
      <c r="N12" s="45"/>
      <c r="O12" s="193"/>
      <c r="P12" s="193"/>
      <c r="Q12" s="45"/>
      <c r="R12" s="45"/>
      <c r="S12" s="48"/>
      <c r="T12" s="45"/>
      <c r="U12" s="45"/>
      <c r="V12" s="45"/>
    </row>
    <row r="13" spans="1:23" ht="27.95" customHeight="1" x14ac:dyDescent="0.3">
      <c r="A13" s="189" t="s">
        <v>2118</v>
      </c>
      <c r="B13" s="49"/>
      <c r="C13" s="194" t="s">
        <v>801</v>
      </c>
      <c r="D13" s="194"/>
      <c r="E13" s="194" t="s">
        <v>1406</v>
      </c>
      <c r="F13" s="49"/>
      <c r="G13" s="49"/>
      <c r="H13" s="49"/>
      <c r="I13" s="194" t="s">
        <v>1401</v>
      </c>
      <c r="J13" s="194" t="s">
        <v>1403</v>
      </c>
      <c r="K13" s="49"/>
      <c r="L13" s="194" t="s">
        <v>1402</v>
      </c>
      <c r="M13" s="49"/>
      <c r="N13" s="49"/>
      <c r="O13" s="194" t="s">
        <v>799</v>
      </c>
      <c r="P13" s="194" t="s">
        <v>798</v>
      </c>
      <c r="Q13" s="49"/>
      <c r="R13" s="49" t="s">
        <v>1405</v>
      </c>
      <c r="S13" s="51" t="s">
        <v>1404</v>
      </c>
      <c r="T13" s="49"/>
      <c r="U13" s="49"/>
      <c r="V13" s="49"/>
    </row>
    <row r="14" spans="1:23" ht="27.95" customHeight="1" x14ac:dyDescent="0.3">
      <c r="A14" s="190"/>
      <c r="B14" s="52"/>
      <c r="C14" s="195"/>
      <c r="D14" s="195"/>
      <c r="E14" s="195"/>
      <c r="F14" s="52"/>
      <c r="G14" s="52"/>
      <c r="H14" s="52"/>
      <c r="I14" s="195" t="s">
        <v>2146</v>
      </c>
      <c r="J14" s="195"/>
      <c r="K14" s="52"/>
      <c r="L14" s="195" t="s">
        <v>2147</v>
      </c>
      <c r="M14" s="52"/>
      <c r="N14" s="52"/>
      <c r="O14" s="195"/>
      <c r="P14" s="195"/>
      <c r="Q14" s="52"/>
      <c r="R14" s="52"/>
      <c r="S14" s="53" t="s">
        <v>2142</v>
      </c>
      <c r="T14" s="52"/>
      <c r="U14" s="52"/>
      <c r="V14" s="52"/>
      <c r="W14" s="44" t="s">
        <v>2148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C067AC-9E0C-4BF5-B5B2-50EAA8BB55CD}">
  <dimension ref="A1:W182"/>
  <sheetViews>
    <sheetView view="pageBreakPreview" topLeftCell="A134" zoomScale="130" zoomScaleNormal="80" zoomScaleSheetLayoutView="130" workbookViewId="0">
      <selection activeCell="X21" sqref="X21"/>
    </sheetView>
  </sheetViews>
  <sheetFormatPr defaultRowHeight="13.5" x14ac:dyDescent="0.3"/>
  <cols>
    <col min="1" max="1" width="1.625" style="1" customWidth="1"/>
    <col min="2" max="2" width="6.875" style="1" customWidth="1"/>
    <col min="3" max="3" width="6" style="1" customWidth="1"/>
    <col min="4" max="4" width="6.75" style="1" customWidth="1"/>
    <col min="5" max="5" width="8.125" style="1" customWidth="1"/>
    <col min="6" max="6" width="3.25" style="1" customWidth="1"/>
    <col min="7" max="7" width="7.75" style="3" customWidth="1"/>
    <col min="8" max="9" width="11.125" style="3" customWidth="1"/>
    <col min="10" max="10" width="9.25" style="1" customWidth="1"/>
    <col min="11" max="11" width="9.375" style="1" customWidth="1"/>
    <col min="12" max="12" width="5" style="1" customWidth="1"/>
    <col min="13" max="13" width="3.875" style="1" customWidth="1"/>
    <col min="14" max="14" width="5.75" style="1" customWidth="1"/>
    <col min="15" max="15" width="8.375" style="1" customWidth="1"/>
    <col min="16" max="16" width="2.375" style="4" customWidth="1"/>
    <col min="17" max="17" width="12.25" style="1" customWidth="1"/>
    <col min="18" max="18" width="10.5" style="5" customWidth="1"/>
    <col min="19" max="19" width="7.5" style="2" customWidth="1"/>
    <col min="20" max="20" width="8.5" style="2" customWidth="1"/>
    <col min="21" max="21" width="8.75" style="5" customWidth="1"/>
    <col min="22" max="22" width="5.125" style="5" customWidth="1"/>
    <col min="23" max="23" width="3.625" style="1" customWidth="1"/>
    <col min="24" max="16384" width="9" style="1"/>
  </cols>
  <sheetData>
    <row r="1" spans="2:23" x14ac:dyDescent="0.3"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</row>
    <row r="2" spans="2:23" x14ac:dyDescent="0.3"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</row>
    <row r="3" spans="2:23" x14ac:dyDescent="0.3"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</row>
    <row r="4" spans="2:23" ht="6" customHeight="1" x14ac:dyDescent="0.3">
      <c r="G4" s="1"/>
      <c r="H4" s="1"/>
      <c r="I4" s="1"/>
      <c r="P4" s="1"/>
      <c r="R4" s="1"/>
      <c r="U4" s="1"/>
      <c r="V4" s="1"/>
    </row>
    <row r="5" spans="2:23" x14ac:dyDescent="0.3">
      <c r="B5" s="90" t="s">
        <v>15</v>
      </c>
      <c r="C5" s="90"/>
      <c r="D5" s="98">
        <v>46015</v>
      </c>
      <c r="E5" s="98"/>
      <c r="F5" s="98"/>
    </row>
    <row r="6" spans="2:23" x14ac:dyDescent="0.3">
      <c r="B6" s="90" t="s">
        <v>16</v>
      </c>
      <c r="C6" s="90"/>
      <c r="D6" s="90" t="s">
        <v>10</v>
      </c>
      <c r="E6" s="90"/>
      <c r="F6" s="90"/>
    </row>
    <row r="7" spans="2:23" x14ac:dyDescent="0.3">
      <c r="B7" s="90" t="s">
        <v>17</v>
      </c>
      <c r="C7" s="90"/>
      <c r="D7" s="90" t="s">
        <v>11</v>
      </c>
      <c r="E7" s="90"/>
      <c r="F7" s="90"/>
    </row>
    <row r="8" spans="2:23" ht="17.25" customHeight="1" x14ac:dyDescent="0.3"/>
    <row r="9" spans="2:23" ht="34.5" customHeight="1" x14ac:dyDescent="0.3">
      <c r="B9" s="96" t="s">
        <v>23</v>
      </c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6"/>
      <c r="V9" s="96"/>
    </row>
    <row r="10" spans="2:23" ht="17.25" customHeight="1" thickBot="1" x14ac:dyDescent="0.35">
      <c r="C10" s="6"/>
      <c r="D10" s="6"/>
      <c r="E10" s="6"/>
      <c r="F10" s="6"/>
    </row>
    <row r="11" spans="2:23" ht="30" customHeight="1" thickBot="1" x14ac:dyDescent="0.35">
      <c r="B11" s="105" t="s">
        <v>19</v>
      </c>
      <c r="C11" s="106"/>
      <c r="D11" s="106"/>
      <c r="E11" s="107" t="s">
        <v>29</v>
      </c>
      <c r="F11" s="107"/>
      <c r="G11" s="108"/>
      <c r="H11" s="85" t="s">
        <v>6</v>
      </c>
      <c r="I11" s="86"/>
      <c r="J11" s="87"/>
      <c r="K11" s="111">
        <v>44197</v>
      </c>
      <c r="L11" s="112"/>
      <c r="M11" s="17" t="s">
        <v>14</v>
      </c>
      <c r="N11" s="93" t="s">
        <v>30</v>
      </c>
      <c r="O11" s="93"/>
      <c r="P11" s="93"/>
      <c r="Q11" s="94"/>
      <c r="R11" s="91" t="s">
        <v>7</v>
      </c>
      <c r="S11" s="92"/>
      <c r="T11" s="99">
        <v>7380100</v>
      </c>
      <c r="U11" s="100"/>
      <c r="V11" s="27" t="s">
        <v>24</v>
      </c>
      <c r="W11" s="5"/>
    </row>
    <row r="12" spans="2:23" ht="15" customHeight="1" thickBot="1" x14ac:dyDescent="0.35"/>
    <row r="13" spans="2:23" ht="31.5" customHeight="1" thickBot="1" x14ac:dyDescent="0.35">
      <c r="B13" s="18" t="s">
        <v>13</v>
      </c>
      <c r="C13" s="88" t="s">
        <v>0</v>
      </c>
      <c r="D13" s="88"/>
      <c r="E13" s="88"/>
      <c r="F13" s="95" t="s">
        <v>1</v>
      </c>
      <c r="G13" s="95"/>
      <c r="H13" s="19" t="s">
        <v>25</v>
      </c>
      <c r="I13" s="19" t="s">
        <v>27</v>
      </c>
      <c r="J13" s="20" t="s">
        <v>26</v>
      </c>
      <c r="K13" s="20" t="s">
        <v>2</v>
      </c>
      <c r="L13" s="88" t="s">
        <v>3</v>
      </c>
      <c r="M13" s="88"/>
      <c r="N13" s="113" t="s">
        <v>28</v>
      </c>
      <c r="O13" s="113"/>
      <c r="P13" s="113"/>
      <c r="Q13" s="20" t="s">
        <v>12</v>
      </c>
      <c r="R13" s="20" t="s">
        <v>4</v>
      </c>
      <c r="S13" s="88" t="s">
        <v>5</v>
      </c>
      <c r="T13" s="89"/>
      <c r="U13" s="109" t="s">
        <v>8</v>
      </c>
      <c r="V13" s="110"/>
    </row>
    <row r="14" spans="2:23" ht="18.75" customHeight="1" x14ac:dyDescent="0.3">
      <c r="B14" s="21" t="s">
        <v>31</v>
      </c>
      <c r="C14" s="101" t="s">
        <v>32</v>
      </c>
      <c r="D14" s="101"/>
      <c r="E14" s="101"/>
      <c r="F14" s="102">
        <v>46036</v>
      </c>
      <c r="G14" s="102"/>
      <c r="H14" s="30">
        <v>46000</v>
      </c>
      <c r="I14" s="28" t="s">
        <v>33</v>
      </c>
      <c r="J14" s="22" t="s">
        <v>34</v>
      </c>
      <c r="K14" s="22" t="s">
        <v>35</v>
      </c>
      <c r="L14" s="101" t="s">
        <v>35</v>
      </c>
      <c r="M14" s="101"/>
      <c r="N14" s="97">
        <v>3960</v>
      </c>
      <c r="O14" s="97"/>
      <c r="P14" s="97"/>
      <c r="Q14" s="23">
        <v>0</v>
      </c>
      <c r="R14" s="22" t="s">
        <v>36</v>
      </c>
      <c r="S14" s="104" t="s">
        <v>37</v>
      </c>
      <c r="T14" s="104"/>
      <c r="U14" s="101" t="s">
        <v>38</v>
      </c>
      <c r="V14" s="103"/>
    </row>
    <row r="15" spans="2:23" ht="18.75" customHeight="1" x14ac:dyDescent="0.3">
      <c r="B15" s="21" t="s">
        <v>40</v>
      </c>
      <c r="C15" s="101" t="s">
        <v>32</v>
      </c>
      <c r="D15" s="101" t="s">
        <v>39</v>
      </c>
      <c r="E15" s="101" t="s">
        <v>39</v>
      </c>
      <c r="F15" s="102">
        <v>46006</v>
      </c>
      <c r="G15" s="102" t="s">
        <v>39</v>
      </c>
      <c r="H15" s="30">
        <v>45971</v>
      </c>
      <c r="I15" s="28" t="s">
        <v>41</v>
      </c>
      <c r="J15" s="22" t="s">
        <v>34</v>
      </c>
      <c r="K15" s="22" t="s">
        <v>35</v>
      </c>
      <c r="L15" s="101" t="s">
        <v>35</v>
      </c>
      <c r="M15" s="101" t="s">
        <v>39</v>
      </c>
      <c r="N15" s="97">
        <v>3960</v>
      </c>
      <c r="O15" s="97" t="s">
        <v>39</v>
      </c>
      <c r="P15" s="97" t="s">
        <v>39</v>
      </c>
      <c r="Q15" s="23">
        <v>0</v>
      </c>
      <c r="R15" s="22" t="s">
        <v>42</v>
      </c>
      <c r="S15" s="104" t="s">
        <v>37</v>
      </c>
      <c r="T15" s="104" t="s">
        <v>39</v>
      </c>
      <c r="U15" s="101" t="s">
        <v>38</v>
      </c>
      <c r="V15" s="103" t="s">
        <v>39</v>
      </c>
    </row>
    <row r="16" spans="2:23" ht="18.75" customHeight="1" x14ac:dyDescent="0.3">
      <c r="B16" s="21" t="s">
        <v>43</v>
      </c>
      <c r="C16" s="101" t="s">
        <v>32</v>
      </c>
      <c r="D16" s="101" t="s">
        <v>39</v>
      </c>
      <c r="E16" s="101" t="s">
        <v>39</v>
      </c>
      <c r="F16" s="102">
        <v>45975</v>
      </c>
      <c r="G16" s="102" t="s">
        <v>39</v>
      </c>
      <c r="H16" s="30">
        <v>45940</v>
      </c>
      <c r="I16" s="28" t="s">
        <v>44</v>
      </c>
      <c r="J16" s="22" t="s">
        <v>34</v>
      </c>
      <c r="K16" s="22" t="s">
        <v>35</v>
      </c>
      <c r="L16" s="101" t="s">
        <v>35</v>
      </c>
      <c r="M16" s="101" t="s">
        <v>39</v>
      </c>
      <c r="N16" s="97">
        <v>1210</v>
      </c>
      <c r="O16" s="97" t="s">
        <v>39</v>
      </c>
      <c r="P16" s="97" t="s">
        <v>39</v>
      </c>
      <c r="Q16" s="23">
        <v>0</v>
      </c>
      <c r="R16" s="22" t="s">
        <v>45</v>
      </c>
      <c r="S16" s="104" t="s">
        <v>37</v>
      </c>
      <c r="T16" s="104" t="s">
        <v>39</v>
      </c>
      <c r="U16" s="101" t="s">
        <v>38</v>
      </c>
      <c r="V16" s="103" t="s">
        <v>39</v>
      </c>
    </row>
    <row r="17" spans="2:22" ht="18.75" customHeight="1" x14ac:dyDescent="0.3">
      <c r="B17" s="21" t="s">
        <v>46</v>
      </c>
      <c r="C17" s="101" t="s">
        <v>32</v>
      </c>
      <c r="D17" s="101" t="s">
        <v>39</v>
      </c>
      <c r="E17" s="101" t="s">
        <v>39</v>
      </c>
      <c r="F17" s="102">
        <v>45915</v>
      </c>
      <c r="G17" s="102" t="s">
        <v>39</v>
      </c>
      <c r="H17" s="30">
        <v>45880</v>
      </c>
      <c r="I17" s="28" t="s">
        <v>47</v>
      </c>
      <c r="J17" s="22" t="s">
        <v>34</v>
      </c>
      <c r="K17" s="22" t="s">
        <v>35</v>
      </c>
      <c r="L17" s="101" t="s">
        <v>35</v>
      </c>
      <c r="M17" s="101" t="s">
        <v>39</v>
      </c>
      <c r="N17" s="97">
        <v>1100</v>
      </c>
      <c r="O17" s="97" t="s">
        <v>39</v>
      </c>
      <c r="P17" s="97" t="s">
        <v>39</v>
      </c>
      <c r="Q17" s="23">
        <v>0</v>
      </c>
      <c r="R17" s="22" t="s">
        <v>48</v>
      </c>
      <c r="S17" s="104" t="s">
        <v>37</v>
      </c>
      <c r="T17" s="104" t="s">
        <v>39</v>
      </c>
      <c r="U17" s="101" t="s">
        <v>38</v>
      </c>
      <c r="V17" s="103" t="s">
        <v>39</v>
      </c>
    </row>
    <row r="18" spans="2:22" ht="18.75" customHeight="1" x14ac:dyDescent="0.3">
      <c r="B18" s="21" t="s">
        <v>49</v>
      </c>
      <c r="C18" s="101" t="s">
        <v>32</v>
      </c>
      <c r="D18" s="101" t="s">
        <v>39</v>
      </c>
      <c r="E18" s="101" t="s">
        <v>39</v>
      </c>
      <c r="F18" s="102">
        <v>45852</v>
      </c>
      <c r="G18" s="102" t="s">
        <v>39</v>
      </c>
      <c r="H18" s="30">
        <v>45817</v>
      </c>
      <c r="I18" s="28" t="s">
        <v>50</v>
      </c>
      <c r="J18" s="22" t="s">
        <v>34</v>
      </c>
      <c r="K18" s="22" t="s">
        <v>35</v>
      </c>
      <c r="L18" s="101" t="s">
        <v>35</v>
      </c>
      <c r="M18" s="101" t="s">
        <v>39</v>
      </c>
      <c r="N18" s="97">
        <v>1100</v>
      </c>
      <c r="O18" s="97" t="s">
        <v>39</v>
      </c>
      <c r="P18" s="97" t="s">
        <v>39</v>
      </c>
      <c r="Q18" s="23">
        <v>0</v>
      </c>
      <c r="R18" s="22" t="s">
        <v>51</v>
      </c>
      <c r="S18" s="104" t="s">
        <v>37</v>
      </c>
      <c r="T18" s="104" t="s">
        <v>39</v>
      </c>
      <c r="U18" s="101" t="s">
        <v>38</v>
      </c>
      <c r="V18" s="103" t="s">
        <v>39</v>
      </c>
    </row>
    <row r="19" spans="2:22" ht="18.75" customHeight="1" x14ac:dyDescent="0.3">
      <c r="B19" s="21" t="s">
        <v>52</v>
      </c>
      <c r="C19" s="101" t="s">
        <v>32</v>
      </c>
      <c r="D19" s="101" t="s">
        <v>39</v>
      </c>
      <c r="E19" s="101" t="s">
        <v>39</v>
      </c>
      <c r="F19" s="102">
        <v>45824</v>
      </c>
      <c r="G19" s="102" t="s">
        <v>39</v>
      </c>
      <c r="H19" s="30">
        <v>45790</v>
      </c>
      <c r="I19" s="28" t="s">
        <v>53</v>
      </c>
      <c r="J19" s="22" t="s">
        <v>34</v>
      </c>
      <c r="K19" s="22" t="s">
        <v>35</v>
      </c>
      <c r="L19" s="101" t="s">
        <v>35</v>
      </c>
      <c r="M19" s="101" t="s">
        <v>39</v>
      </c>
      <c r="N19" s="97">
        <v>31200</v>
      </c>
      <c r="O19" s="97" t="s">
        <v>39</v>
      </c>
      <c r="P19" s="97" t="s">
        <v>39</v>
      </c>
      <c r="Q19" s="23">
        <v>0</v>
      </c>
      <c r="R19" s="22" t="s">
        <v>54</v>
      </c>
      <c r="S19" s="104" t="s">
        <v>55</v>
      </c>
      <c r="T19" s="104" t="s">
        <v>39</v>
      </c>
      <c r="U19" s="101" t="s">
        <v>56</v>
      </c>
      <c r="V19" s="103" t="s">
        <v>39</v>
      </c>
    </row>
    <row r="20" spans="2:22" ht="18.75" customHeight="1" x14ac:dyDescent="0.3">
      <c r="B20" s="21" t="s">
        <v>57</v>
      </c>
      <c r="C20" s="101" t="s">
        <v>32</v>
      </c>
      <c r="D20" s="101" t="s">
        <v>39</v>
      </c>
      <c r="E20" s="101" t="s">
        <v>39</v>
      </c>
      <c r="F20" s="102">
        <v>45824</v>
      </c>
      <c r="G20" s="102" t="s">
        <v>39</v>
      </c>
      <c r="H20" s="30">
        <v>45789</v>
      </c>
      <c r="I20" s="28" t="s">
        <v>58</v>
      </c>
      <c r="J20" s="22" t="s">
        <v>34</v>
      </c>
      <c r="K20" s="22" t="s">
        <v>35</v>
      </c>
      <c r="L20" s="101" t="s">
        <v>35</v>
      </c>
      <c r="M20" s="101" t="s">
        <v>39</v>
      </c>
      <c r="N20" s="97">
        <v>8700</v>
      </c>
      <c r="O20" s="97" t="s">
        <v>39</v>
      </c>
      <c r="P20" s="97" t="s">
        <v>39</v>
      </c>
      <c r="Q20" s="23">
        <v>0</v>
      </c>
      <c r="R20" s="22" t="s">
        <v>59</v>
      </c>
      <c r="S20" s="104" t="s">
        <v>60</v>
      </c>
      <c r="T20" s="104" t="s">
        <v>39</v>
      </c>
      <c r="U20" s="101" t="s">
        <v>61</v>
      </c>
      <c r="V20" s="103" t="s">
        <v>39</v>
      </c>
    </row>
    <row r="21" spans="2:22" ht="18.75" customHeight="1" x14ac:dyDescent="0.3">
      <c r="B21" s="21" t="s">
        <v>62</v>
      </c>
      <c r="C21" s="101" t="s">
        <v>32</v>
      </c>
      <c r="D21" s="101" t="s">
        <v>39</v>
      </c>
      <c r="E21" s="101" t="s">
        <v>39</v>
      </c>
      <c r="F21" s="102">
        <v>45824</v>
      </c>
      <c r="G21" s="102" t="s">
        <v>39</v>
      </c>
      <c r="H21" s="30">
        <v>45789</v>
      </c>
      <c r="I21" s="28" t="s">
        <v>63</v>
      </c>
      <c r="J21" s="22" t="s">
        <v>34</v>
      </c>
      <c r="K21" s="22" t="s">
        <v>35</v>
      </c>
      <c r="L21" s="101" t="s">
        <v>35</v>
      </c>
      <c r="M21" s="101" t="s">
        <v>39</v>
      </c>
      <c r="N21" s="97">
        <v>13000</v>
      </c>
      <c r="O21" s="97" t="s">
        <v>39</v>
      </c>
      <c r="P21" s="97" t="s">
        <v>39</v>
      </c>
      <c r="Q21" s="23">
        <v>0</v>
      </c>
      <c r="R21" s="22" t="s">
        <v>64</v>
      </c>
      <c r="S21" s="104" t="s">
        <v>65</v>
      </c>
      <c r="T21" s="104" t="s">
        <v>39</v>
      </c>
      <c r="U21" s="101" t="s">
        <v>66</v>
      </c>
      <c r="V21" s="103" t="s">
        <v>39</v>
      </c>
    </row>
    <row r="22" spans="2:22" ht="18.75" customHeight="1" x14ac:dyDescent="0.3">
      <c r="B22" s="21" t="s">
        <v>67</v>
      </c>
      <c r="C22" s="101" t="s">
        <v>32</v>
      </c>
      <c r="D22" s="101" t="s">
        <v>39</v>
      </c>
      <c r="E22" s="101" t="s">
        <v>39</v>
      </c>
      <c r="F22" s="102">
        <v>45824</v>
      </c>
      <c r="G22" s="102" t="s">
        <v>39</v>
      </c>
      <c r="H22" s="30">
        <v>45787</v>
      </c>
      <c r="I22" s="28" t="s">
        <v>68</v>
      </c>
      <c r="J22" s="22" t="s">
        <v>34</v>
      </c>
      <c r="K22" s="22" t="s">
        <v>35</v>
      </c>
      <c r="L22" s="101" t="s">
        <v>35</v>
      </c>
      <c r="M22" s="101" t="s">
        <v>39</v>
      </c>
      <c r="N22" s="97">
        <v>176050</v>
      </c>
      <c r="O22" s="97" t="s">
        <v>39</v>
      </c>
      <c r="P22" s="97" t="s">
        <v>39</v>
      </c>
      <c r="Q22" s="23">
        <v>0</v>
      </c>
      <c r="R22" s="22" t="s">
        <v>69</v>
      </c>
      <c r="S22" s="104" t="s">
        <v>70</v>
      </c>
      <c r="T22" s="104" t="s">
        <v>39</v>
      </c>
      <c r="U22" s="101" t="s">
        <v>71</v>
      </c>
      <c r="V22" s="103" t="s">
        <v>39</v>
      </c>
    </row>
    <row r="23" spans="2:22" ht="18.75" customHeight="1" x14ac:dyDescent="0.3">
      <c r="B23" s="21" t="s">
        <v>72</v>
      </c>
      <c r="C23" s="101" t="s">
        <v>32</v>
      </c>
      <c r="D23" s="101" t="s">
        <v>39</v>
      </c>
      <c r="E23" s="101" t="s">
        <v>39</v>
      </c>
      <c r="F23" s="102">
        <v>45824</v>
      </c>
      <c r="G23" s="102" t="s">
        <v>39</v>
      </c>
      <c r="H23" s="30">
        <v>45785</v>
      </c>
      <c r="I23" s="28" t="s">
        <v>73</v>
      </c>
      <c r="J23" s="22" t="s">
        <v>34</v>
      </c>
      <c r="K23" s="22" t="s">
        <v>35</v>
      </c>
      <c r="L23" s="101" t="s">
        <v>35</v>
      </c>
      <c r="M23" s="101" t="s">
        <v>39</v>
      </c>
      <c r="N23" s="97">
        <v>26000</v>
      </c>
      <c r="O23" s="97" t="s">
        <v>39</v>
      </c>
      <c r="P23" s="97" t="s">
        <v>39</v>
      </c>
      <c r="Q23" s="23">
        <v>0</v>
      </c>
      <c r="R23" s="22" t="s">
        <v>74</v>
      </c>
      <c r="S23" s="104" t="s">
        <v>75</v>
      </c>
      <c r="T23" s="104" t="s">
        <v>39</v>
      </c>
      <c r="U23" s="101" t="s">
        <v>76</v>
      </c>
      <c r="V23" s="103" t="s">
        <v>39</v>
      </c>
    </row>
    <row r="24" spans="2:22" ht="18.75" customHeight="1" x14ac:dyDescent="0.3">
      <c r="B24" s="21" t="s">
        <v>77</v>
      </c>
      <c r="C24" s="101" t="s">
        <v>32</v>
      </c>
      <c r="D24" s="101" t="s">
        <v>39</v>
      </c>
      <c r="E24" s="101" t="s">
        <v>39</v>
      </c>
      <c r="F24" s="102">
        <v>45824</v>
      </c>
      <c r="G24" s="102" t="s">
        <v>39</v>
      </c>
      <c r="H24" s="30">
        <v>45785</v>
      </c>
      <c r="I24" s="28" t="s">
        <v>78</v>
      </c>
      <c r="J24" s="22" t="s">
        <v>34</v>
      </c>
      <c r="K24" s="22" t="s">
        <v>35</v>
      </c>
      <c r="L24" s="101" t="s">
        <v>35</v>
      </c>
      <c r="M24" s="101" t="s">
        <v>39</v>
      </c>
      <c r="N24" s="97">
        <v>22700</v>
      </c>
      <c r="O24" s="97" t="s">
        <v>39</v>
      </c>
      <c r="P24" s="97" t="s">
        <v>39</v>
      </c>
      <c r="Q24" s="23">
        <v>0</v>
      </c>
      <c r="R24" s="22" t="s">
        <v>79</v>
      </c>
      <c r="S24" s="104" t="s">
        <v>80</v>
      </c>
      <c r="T24" s="104" t="s">
        <v>39</v>
      </c>
      <c r="U24" s="101" t="s">
        <v>81</v>
      </c>
      <c r="V24" s="103" t="s">
        <v>39</v>
      </c>
    </row>
    <row r="25" spans="2:22" ht="18.75" customHeight="1" x14ac:dyDescent="0.3">
      <c r="B25" s="21" t="s">
        <v>82</v>
      </c>
      <c r="C25" s="101" t="s">
        <v>32</v>
      </c>
      <c r="D25" s="101" t="s">
        <v>39</v>
      </c>
      <c r="E25" s="101" t="s">
        <v>39</v>
      </c>
      <c r="F25" s="102">
        <v>45824</v>
      </c>
      <c r="G25" s="102" t="s">
        <v>39</v>
      </c>
      <c r="H25" s="30">
        <v>45785</v>
      </c>
      <c r="I25" s="28" t="s">
        <v>83</v>
      </c>
      <c r="J25" s="22" t="s">
        <v>34</v>
      </c>
      <c r="K25" s="22" t="s">
        <v>35</v>
      </c>
      <c r="L25" s="101" t="s">
        <v>35</v>
      </c>
      <c r="M25" s="101" t="s">
        <v>39</v>
      </c>
      <c r="N25" s="97">
        <v>5000</v>
      </c>
      <c r="O25" s="97" t="s">
        <v>39</v>
      </c>
      <c r="P25" s="97" t="s">
        <v>39</v>
      </c>
      <c r="Q25" s="23">
        <v>0</v>
      </c>
      <c r="R25" s="22" t="s">
        <v>84</v>
      </c>
      <c r="S25" s="104" t="s">
        <v>85</v>
      </c>
      <c r="T25" s="104" t="s">
        <v>39</v>
      </c>
      <c r="U25" s="101" t="s">
        <v>86</v>
      </c>
      <c r="V25" s="103" t="s">
        <v>39</v>
      </c>
    </row>
    <row r="26" spans="2:22" ht="18.75" customHeight="1" x14ac:dyDescent="0.3">
      <c r="B26" s="21" t="s">
        <v>87</v>
      </c>
      <c r="C26" s="101" t="s">
        <v>32</v>
      </c>
      <c r="D26" s="101" t="s">
        <v>39</v>
      </c>
      <c r="E26" s="101" t="s">
        <v>39</v>
      </c>
      <c r="F26" s="102">
        <v>45824</v>
      </c>
      <c r="G26" s="102" t="s">
        <v>39</v>
      </c>
      <c r="H26" s="30">
        <v>45784</v>
      </c>
      <c r="I26" s="28" t="s">
        <v>88</v>
      </c>
      <c r="J26" s="22" t="s">
        <v>34</v>
      </c>
      <c r="K26" s="22" t="s">
        <v>35</v>
      </c>
      <c r="L26" s="101" t="s">
        <v>35</v>
      </c>
      <c r="M26" s="101" t="s">
        <v>39</v>
      </c>
      <c r="N26" s="97">
        <v>14100</v>
      </c>
      <c r="O26" s="97" t="s">
        <v>39</v>
      </c>
      <c r="P26" s="97" t="s">
        <v>39</v>
      </c>
      <c r="Q26" s="23">
        <v>0</v>
      </c>
      <c r="R26" s="22" t="s">
        <v>89</v>
      </c>
      <c r="S26" s="104" t="s">
        <v>90</v>
      </c>
      <c r="T26" s="104" t="s">
        <v>39</v>
      </c>
      <c r="U26" s="101" t="s">
        <v>91</v>
      </c>
      <c r="V26" s="103" t="s">
        <v>39</v>
      </c>
    </row>
    <row r="27" spans="2:22" ht="18.75" customHeight="1" x14ac:dyDescent="0.3">
      <c r="B27" s="21" t="s">
        <v>92</v>
      </c>
      <c r="C27" s="101" t="s">
        <v>32</v>
      </c>
      <c r="D27" s="101" t="s">
        <v>39</v>
      </c>
      <c r="E27" s="101" t="s">
        <v>39</v>
      </c>
      <c r="F27" s="102">
        <v>45824</v>
      </c>
      <c r="G27" s="102" t="s">
        <v>39</v>
      </c>
      <c r="H27" s="30">
        <v>45783</v>
      </c>
      <c r="I27" s="28" t="s">
        <v>93</v>
      </c>
      <c r="J27" s="22" t="s">
        <v>34</v>
      </c>
      <c r="K27" s="22" t="s">
        <v>35</v>
      </c>
      <c r="L27" s="101" t="s">
        <v>35</v>
      </c>
      <c r="M27" s="101" t="s">
        <v>39</v>
      </c>
      <c r="N27" s="97">
        <v>11400</v>
      </c>
      <c r="O27" s="97" t="s">
        <v>39</v>
      </c>
      <c r="P27" s="97" t="s">
        <v>39</v>
      </c>
      <c r="Q27" s="23">
        <v>0</v>
      </c>
      <c r="R27" s="22" t="s">
        <v>94</v>
      </c>
      <c r="S27" s="104" t="s">
        <v>95</v>
      </c>
      <c r="T27" s="104" t="s">
        <v>39</v>
      </c>
      <c r="U27" s="101" t="s">
        <v>96</v>
      </c>
      <c r="V27" s="103" t="s">
        <v>39</v>
      </c>
    </row>
    <row r="28" spans="2:22" ht="18.75" customHeight="1" x14ac:dyDescent="0.3">
      <c r="B28" s="21" t="s">
        <v>97</v>
      </c>
      <c r="C28" s="101" t="s">
        <v>32</v>
      </c>
      <c r="D28" s="101" t="s">
        <v>39</v>
      </c>
      <c r="E28" s="101" t="s">
        <v>39</v>
      </c>
      <c r="F28" s="102">
        <v>45824</v>
      </c>
      <c r="G28" s="102" t="s">
        <v>39</v>
      </c>
      <c r="H28" s="30">
        <v>45783</v>
      </c>
      <c r="I28" s="28" t="s">
        <v>98</v>
      </c>
      <c r="J28" s="22" t="s">
        <v>34</v>
      </c>
      <c r="K28" s="22" t="s">
        <v>35</v>
      </c>
      <c r="L28" s="101" t="s">
        <v>35</v>
      </c>
      <c r="M28" s="101" t="s">
        <v>39</v>
      </c>
      <c r="N28" s="97">
        <v>73500</v>
      </c>
      <c r="O28" s="97" t="s">
        <v>39</v>
      </c>
      <c r="P28" s="97" t="s">
        <v>39</v>
      </c>
      <c r="Q28" s="23">
        <v>0</v>
      </c>
      <c r="R28" s="22" t="s">
        <v>99</v>
      </c>
      <c r="S28" s="104" t="s">
        <v>100</v>
      </c>
      <c r="T28" s="104" t="s">
        <v>39</v>
      </c>
      <c r="U28" s="101" t="s">
        <v>101</v>
      </c>
      <c r="V28" s="103" t="s">
        <v>39</v>
      </c>
    </row>
    <row r="29" spans="2:22" ht="18.75" customHeight="1" x14ac:dyDescent="0.3">
      <c r="B29" s="21" t="s">
        <v>102</v>
      </c>
      <c r="C29" s="101" t="s">
        <v>32</v>
      </c>
      <c r="D29" s="101" t="s">
        <v>39</v>
      </c>
      <c r="E29" s="101" t="s">
        <v>39</v>
      </c>
      <c r="F29" s="102">
        <v>45824</v>
      </c>
      <c r="G29" s="102" t="s">
        <v>39</v>
      </c>
      <c r="H29" s="30">
        <v>45783</v>
      </c>
      <c r="I29" s="28" t="s">
        <v>103</v>
      </c>
      <c r="J29" s="22" t="s">
        <v>34</v>
      </c>
      <c r="K29" s="22" t="s">
        <v>35</v>
      </c>
      <c r="L29" s="101" t="s">
        <v>35</v>
      </c>
      <c r="M29" s="101" t="s">
        <v>39</v>
      </c>
      <c r="N29" s="97">
        <v>9900</v>
      </c>
      <c r="O29" s="97" t="s">
        <v>39</v>
      </c>
      <c r="P29" s="97" t="s">
        <v>39</v>
      </c>
      <c r="Q29" s="23">
        <v>0</v>
      </c>
      <c r="R29" s="22" t="s">
        <v>104</v>
      </c>
      <c r="S29" s="104" t="s">
        <v>95</v>
      </c>
      <c r="T29" s="104" t="s">
        <v>39</v>
      </c>
      <c r="U29" s="101" t="s">
        <v>96</v>
      </c>
      <c r="V29" s="103" t="s">
        <v>39</v>
      </c>
    </row>
    <row r="30" spans="2:22" ht="18.75" customHeight="1" x14ac:dyDescent="0.3">
      <c r="B30" s="21" t="s">
        <v>105</v>
      </c>
      <c r="C30" s="101" t="s">
        <v>32</v>
      </c>
      <c r="D30" s="101" t="s">
        <v>39</v>
      </c>
      <c r="E30" s="101" t="s">
        <v>39</v>
      </c>
      <c r="F30" s="102">
        <v>45824</v>
      </c>
      <c r="G30" s="102" t="s">
        <v>39</v>
      </c>
      <c r="H30" s="30">
        <v>45781</v>
      </c>
      <c r="I30" s="28" t="s">
        <v>106</v>
      </c>
      <c r="J30" s="22" t="s">
        <v>34</v>
      </c>
      <c r="K30" s="22" t="s">
        <v>35</v>
      </c>
      <c r="L30" s="101" t="s">
        <v>35</v>
      </c>
      <c r="M30" s="101" t="s">
        <v>39</v>
      </c>
      <c r="N30" s="97">
        <v>25220</v>
      </c>
      <c r="O30" s="97" t="s">
        <v>39</v>
      </c>
      <c r="P30" s="97" t="s">
        <v>39</v>
      </c>
      <c r="Q30" s="23">
        <v>0</v>
      </c>
      <c r="R30" s="22" t="s">
        <v>107</v>
      </c>
      <c r="S30" s="104" t="s">
        <v>60</v>
      </c>
      <c r="T30" s="104" t="s">
        <v>39</v>
      </c>
      <c r="U30" s="101" t="s">
        <v>61</v>
      </c>
      <c r="V30" s="103" t="s">
        <v>39</v>
      </c>
    </row>
    <row r="31" spans="2:22" ht="18.75" customHeight="1" x14ac:dyDescent="0.3">
      <c r="B31" s="21" t="s">
        <v>108</v>
      </c>
      <c r="C31" s="101" t="s">
        <v>32</v>
      </c>
      <c r="D31" s="101" t="s">
        <v>39</v>
      </c>
      <c r="E31" s="101" t="s">
        <v>39</v>
      </c>
      <c r="F31" s="102">
        <v>45824</v>
      </c>
      <c r="G31" s="102" t="s">
        <v>39</v>
      </c>
      <c r="H31" s="30">
        <v>45780</v>
      </c>
      <c r="I31" s="28" t="s">
        <v>109</v>
      </c>
      <c r="J31" s="22" t="s">
        <v>34</v>
      </c>
      <c r="K31" s="22" t="s">
        <v>35</v>
      </c>
      <c r="L31" s="101" t="s">
        <v>35</v>
      </c>
      <c r="M31" s="101" t="s">
        <v>39</v>
      </c>
      <c r="N31" s="97">
        <v>17080</v>
      </c>
      <c r="O31" s="97" t="s">
        <v>39</v>
      </c>
      <c r="P31" s="97" t="s">
        <v>39</v>
      </c>
      <c r="Q31" s="23">
        <v>0</v>
      </c>
      <c r="R31" s="22" t="s">
        <v>110</v>
      </c>
      <c r="S31" s="104" t="s">
        <v>60</v>
      </c>
      <c r="T31" s="104" t="s">
        <v>39</v>
      </c>
      <c r="U31" s="101" t="s">
        <v>61</v>
      </c>
      <c r="V31" s="103" t="s">
        <v>39</v>
      </c>
    </row>
    <row r="32" spans="2:22" ht="18.75" customHeight="1" x14ac:dyDescent="0.3">
      <c r="B32" s="21" t="s">
        <v>111</v>
      </c>
      <c r="C32" s="101" t="s">
        <v>32</v>
      </c>
      <c r="D32" s="101" t="s">
        <v>39</v>
      </c>
      <c r="E32" s="101" t="s">
        <v>39</v>
      </c>
      <c r="F32" s="102">
        <v>45824</v>
      </c>
      <c r="G32" s="102" t="s">
        <v>39</v>
      </c>
      <c r="H32" s="30">
        <v>45778</v>
      </c>
      <c r="I32" s="28" t="s">
        <v>112</v>
      </c>
      <c r="J32" s="22" t="s">
        <v>34</v>
      </c>
      <c r="K32" s="22" t="s">
        <v>35</v>
      </c>
      <c r="L32" s="101" t="s">
        <v>35</v>
      </c>
      <c r="M32" s="101" t="s">
        <v>39</v>
      </c>
      <c r="N32" s="97">
        <v>116960</v>
      </c>
      <c r="O32" s="97" t="s">
        <v>39</v>
      </c>
      <c r="P32" s="97" t="s">
        <v>39</v>
      </c>
      <c r="Q32" s="23">
        <v>0</v>
      </c>
      <c r="R32" s="22" t="s">
        <v>113</v>
      </c>
      <c r="S32" s="104" t="s">
        <v>114</v>
      </c>
      <c r="T32" s="104" t="s">
        <v>39</v>
      </c>
      <c r="U32" s="101" t="s">
        <v>115</v>
      </c>
      <c r="V32" s="103" t="s">
        <v>39</v>
      </c>
    </row>
    <row r="33" spans="1:22" ht="18.75" customHeight="1" x14ac:dyDescent="0.3">
      <c r="A33" s="59"/>
      <c r="B33" s="54" t="s">
        <v>116</v>
      </c>
      <c r="C33" s="114" t="s">
        <v>32</v>
      </c>
      <c r="D33" s="114" t="s">
        <v>39</v>
      </c>
      <c r="E33" s="114" t="s">
        <v>39</v>
      </c>
      <c r="F33" s="116">
        <v>45824</v>
      </c>
      <c r="G33" s="116" t="s">
        <v>39</v>
      </c>
      <c r="H33" s="56">
        <v>45778</v>
      </c>
      <c r="I33" s="57" t="s">
        <v>117</v>
      </c>
      <c r="J33" s="55" t="s">
        <v>34</v>
      </c>
      <c r="K33" s="55" t="s">
        <v>35</v>
      </c>
      <c r="L33" s="114" t="s">
        <v>35</v>
      </c>
      <c r="M33" s="114" t="s">
        <v>39</v>
      </c>
      <c r="N33" s="115">
        <v>6700</v>
      </c>
      <c r="O33" s="115" t="s">
        <v>39</v>
      </c>
      <c r="P33" s="115" t="s">
        <v>39</v>
      </c>
      <c r="Q33" s="58">
        <v>1000</v>
      </c>
      <c r="R33" s="55" t="s">
        <v>118</v>
      </c>
      <c r="S33" s="118" t="s">
        <v>119</v>
      </c>
      <c r="T33" s="118" t="s">
        <v>39</v>
      </c>
      <c r="U33" s="114" t="s">
        <v>120</v>
      </c>
      <c r="V33" s="117" t="s">
        <v>39</v>
      </c>
    </row>
    <row r="34" spans="1:22" ht="18.75" customHeight="1" x14ac:dyDescent="0.3">
      <c r="B34" s="21" t="s">
        <v>121</v>
      </c>
      <c r="C34" s="101" t="s">
        <v>32</v>
      </c>
      <c r="D34" s="101" t="s">
        <v>39</v>
      </c>
      <c r="E34" s="101" t="s">
        <v>39</v>
      </c>
      <c r="F34" s="102">
        <v>45791</v>
      </c>
      <c r="G34" s="102" t="s">
        <v>39</v>
      </c>
      <c r="H34" s="30">
        <v>45776</v>
      </c>
      <c r="I34" s="28" t="s">
        <v>122</v>
      </c>
      <c r="J34" s="22" t="s">
        <v>34</v>
      </c>
      <c r="K34" s="22" t="s">
        <v>35</v>
      </c>
      <c r="L34" s="101" t="s">
        <v>35</v>
      </c>
      <c r="M34" s="101" t="s">
        <v>39</v>
      </c>
      <c r="N34" s="97">
        <v>21110</v>
      </c>
      <c r="O34" s="97" t="s">
        <v>39</v>
      </c>
      <c r="P34" s="97" t="s">
        <v>39</v>
      </c>
      <c r="Q34" s="23">
        <v>0</v>
      </c>
      <c r="R34" s="22" t="s">
        <v>123</v>
      </c>
      <c r="S34" s="104" t="s">
        <v>124</v>
      </c>
      <c r="T34" s="104" t="s">
        <v>39</v>
      </c>
      <c r="U34" s="101" t="s">
        <v>125</v>
      </c>
      <c r="V34" s="103" t="s">
        <v>39</v>
      </c>
    </row>
    <row r="35" spans="1:22" ht="18.75" customHeight="1" x14ac:dyDescent="0.3">
      <c r="B35" s="21" t="s">
        <v>126</v>
      </c>
      <c r="C35" s="101" t="s">
        <v>32</v>
      </c>
      <c r="D35" s="101" t="s">
        <v>39</v>
      </c>
      <c r="E35" s="101" t="s">
        <v>39</v>
      </c>
      <c r="F35" s="102">
        <v>45791</v>
      </c>
      <c r="G35" s="102" t="s">
        <v>39</v>
      </c>
      <c r="H35" s="30">
        <v>45776</v>
      </c>
      <c r="I35" s="28" t="s">
        <v>127</v>
      </c>
      <c r="J35" s="22" t="s">
        <v>34</v>
      </c>
      <c r="K35" s="22" t="s">
        <v>35</v>
      </c>
      <c r="L35" s="101" t="s">
        <v>35</v>
      </c>
      <c r="M35" s="101" t="s">
        <v>39</v>
      </c>
      <c r="N35" s="97">
        <v>11000</v>
      </c>
      <c r="O35" s="97" t="s">
        <v>39</v>
      </c>
      <c r="P35" s="97" t="s">
        <v>39</v>
      </c>
      <c r="Q35" s="23">
        <v>0</v>
      </c>
      <c r="R35" s="22" t="s">
        <v>128</v>
      </c>
      <c r="S35" s="104" t="s">
        <v>129</v>
      </c>
      <c r="T35" s="104" t="s">
        <v>39</v>
      </c>
      <c r="U35" s="101" t="s">
        <v>130</v>
      </c>
      <c r="V35" s="103" t="s">
        <v>39</v>
      </c>
    </row>
    <row r="36" spans="1:22" ht="18.75" customHeight="1" x14ac:dyDescent="0.3">
      <c r="B36" s="21" t="s">
        <v>131</v>
      </c>
      <c r="C36" s="101" t="s">
        <v>32</v>
      </c>
      <c r="D36" s="101" t="s">
        <v>39</v>
      </c>
      <c r="E36" s="101" t="s">
        <v>39</v>
      </c>
      <c r="F36" s="102">
        <v>45791</v>
      </c>
      <c r="G36" s="102" t="s">
        <v>39</v>
      </c>
      <c r="H36" s="30">
        <v>45775</v>
      </c>
      <c r="I36" s="28" t="s">
        <v>132</v>
      </c>
      <c r="J36" s="22" t="s">
        <v>34</v>
      </c>
      <c r="K36" s="22" t="s">
        <v>35</v>
      </c>
      <c r="L36" s="101" t="s">
        <v>35</v>
      </c>
      <c r="M36" s="101" t="s">
        <v>39</v>
      </c>
      <c r="N36" s="97">
        <v>16490</v>
      </c>
      <c r="O36" s="97" t="s">
        <v>39</v>
      </c>
      <c r="P36" s="97" t="s">
        <v>39</v>
      </c>
      <c r="Q36" s="23">
        <v>0</v>
      </c>
      <c r="R36" s="22" t="s">
        <v>133</v>
      </c>
      <c r="S36" s="104" t="s">
        <v>134</v>
      </c>
      <c r="T36" s="104" t="s">
        <v>39</v>
      </c>
      <c r="U36" s="101" t="s">
        <v>135</v>
      </c>
      <c r="V36" s="103" t="s">
        <v>39</v>
      </c>
    </row>
    <row r="37" spans="1:22" ht="18.75" customHeight="1" x14ac:dyDescent="0.3">
      <c r="B37" s="21" t="s">
        <v>136</v>
      </c>
      <c r="C37" s="101" t="s">
        <v>32</v>
      </c>
      <c r="D37" s="101" t="s">
        <v>39</v>
      </c>
      <c r="E37" s="101" t="s">
        <v>39</v>
      </c>
      <c r="F37" s="102">
        <v>45791</v>
      </c>
      <c r="G37" s="102" t="s">
        <v>39</v>
      </c>
      <c r="H37" s="30">
        <v>45774</v>
      </c>
      <c r="I37" s="28" t="s">
        <v>137</v>
      </c>
      <c r="J37" s="22" t="s">
        <v>34</v>
      </c>
      <c r="K37" s="22" t="s">
        <v>35</v>
      </c>
      <c r="L37" s="101" t="s">
        <v>35</v>
      </c>
      <c r="M37" s="101" t="s">
        <v>39</v>
      </c>
      <c r="N37" s="97">
        <v>8600</v>
      </c>
      <c r="O37" s="97" t="s">
        <v>39</v>
      </c>
      <c r="P37" s="97" t="s">
        <v>39</v>
      </c>
      <c r="Q37" s="23">
        <v>0</v>
      </c>
      <c r="R37" s="22" t="s">
        <v>138</v>
      </c>
      <c r="S37" s="104" t="s">
        <v>85</v>
      </c>
      <c r="T37" s="104" t="s">
        <v>39</v>
      </c>
      <c r="U37" s="101" t="s">
        <v>86</v>
      </c>
      <c r="V37" s="103" t="s">
        <v>39</v>
      </c>
    </row>
    <row r="38" spans="1:22" ht="18.75" customHeight="1" x14ac:dyDescent="0.3">
      <c r="B38" s="21" t="s">
        <v>139</v>
      </c>
      <c r="C38" s="101" t="s">
        <v>32</v>
      </c>
      <c r="D38" s="101" t="s">
        <v>39</v>
      </c>
      <c r="E38" s="101" t="s">
        <v>39</v>
      </c>
      <c r="F38" s="102">
        <v>45791</v>
      </c>
      <c r="G38" s="102" t="s">
        <v>39</v>
      </c>
      <c r="H38" s="30">
        <v>45771</v>
      </c>
      <c r="I38" s="28" t="s">
        <v>140</v>
      </c>
      <c r="J38" s="22" t="s">
        <v>34</v>
      </c>
      <c r="K38" s="22" t="s">
        <v>35</v>
      </c>
      <c r="L38" s="101" t="s">
        <v>35</v>
      </c>
      <c r="M38" s="101" t="s">
        <v>39</v>
      </c>
      <c r="N38" s="97">
        <v>7100</v>
      </c>
      <c r="O38" s="97" t="s">
        <v>39</v>
      </c>
      <c r="P38" s="97" t="s">
        <v>39</v>
      </c>
      <c r="Q38" s="23">
        <v>0</v>
      </c>
      <c r="R38" s="22" t="s">
        <v>141</v>
      </c>
      <c r="S38" s="104" t="s">
        <v>142</v>
      </c>
      <c r="T38" s="104" t="s">
        <v>39</v>
      </c>
      <c r="U38" s="101" t="s">
        <v>143</v>
      </c>
      <c r="V38" s="103" t="s">
        <v>39</v>
      </c>
    </row>
    <row r="39" spans="1:22" ht="18.75" customHeight="1" x14ac:dyDescent="0.3">
      <c r="B39" s="21" t="s">
        <v>144</v>
      </c>
      <c r="C39" s="101" t="s">
        <v>32</v>
      </c>
      <c r="D39" s="101" t="s">
        <v>39</v>
      </c>
      <c r="E39" s="101" t="s">
        <v>39</v>
      </c>
      <c r="F39" s="102">
        <v>45791</v>
      </c>
      <c r="G39" s="102" t="s">
        <v>39</v>
      </c>
      <c r="H39" s="30">
        <v>45770</v>
      </c>
      <c r="I39" s="28" t="s">
        <v>145</v>
      </c>
      <c r="J39" s="22" t="s">
        <v>34</v>
      </c>
      <c r="K39" s="22" t="s">
        <v>35</v>
      </c>
      <c r="L39" s="101" t="s">
        <v>35</v>
      </c>
      <c r="M39" s="101" t="s">
        <v>39</v>
      </c>
      <c r="N39" s="97">
        <v>57000</v>
      </c>
      <c r="O39" s="97" t="s">
        <v>39</v>
      </c>
      <c r="P39" s="97" t="s">
        <v>39</v>
      </c>
      <c r="Q39" s="23">
        <v>0</v>
      </c>
      <c r="R39" s="22" t="s">
        <v>146</v>
      </c>
      <c r="S39" s="104" t="s">
        <v>147</v>
      </c>
      <c r="T39" s="104" t="s">
        <v>39</v>
      </c>
      <c r="U39" s="101" t="s">
        <v>148</v>
      </c>
      <c r="V39" s="103" t="s">
        <v>39</v>
      </c>
    </row>
    <row r="40" spans="1:22" ht="18.75" customHeight="1" x14ac:dyDescent="0.3">
      <c r="B40" s="21" t="s">
        <v>149</v>
      </c>
      <c r="C40" s="101" t="s">
        <v>32</v>
      </c>
      <c r="D40" s="101" t="s">
        <v>39</v>
      </c>
      <c r="E40" s="101" t="s">
        <v>39</v>
      </c>
      <c r="F40" s="102">
        <v>45791</v>
      </c>
      <c r="G40" s="102" t="s">
        <v>39</v>
      </c>
      <c r="H40" s="30">
        <v>45768</v>
      </c>
      <c r="I40" s="28" t="s">
        <v>150</v>
      </c>
      <c r="J40" s="22" t="s">
        <v>34</v>
      </c>
      <c r="K40" s="22" t="s">
        <v>35</v>
      </c>
      <c r="L40" s="101" t="s">
        <v>35</v>
      </c>
      <c r="M40" s="101" t="s">
        <v>39</v>
      </c>
      <c r="N40" s="97">
        <v>18900</v>
      </c>
      <c r="O40" s="97" t="s">
        <v>39</v>
      </c>
      <c r="P40" s="97" t="s">
        <v>39</v>
      </c>
      <c r="Q40" s="23">
        <v>0</v>
      </c>
      <c r="R40" s="22" t="s">
        <v>151</v>
      </c>
      <c r="S40" s="104" t="s">
        <v>152</v>
      </c>
      <c r="T40" s="104" t="s">
        <v>39</v>
      </c>
      <c r="U40" s="101" t="s">
        <v>153</v>
      </c>
      <c r="V40" s="103" t="s">
        <v>39</v>
      </c>
    </row>
    <row r="41" spans="1:22" ht="18.75" customHeight="1" x14ac:dyDescent="0.3">
      <c r="B41" s="21" t="s">
        <v>154</v>
      </c>
      <c r="C41" s="101" t="s">
        <v>32</v>
      </c>
      <c r="D41" s="101" t="s">
        <v>39</v>
      </c>
      <c r="E41" s="101" t="s">
        <v>39</v>
      </c>
      <c r="F41" s="102">
        <v>45791</v>
      </c>
      <c r="G41" s="102" t="s">
        <v>39</v>
      </c>
      <c r="H41" s="30">
        <v>45767</v>
      </c>
      <c r="I41" s="28" t="s">
        <v>155</v>
      </c>
      <c r="J41" s="22" t="s">
        <v>34</v>
      </c>
      <c r="K41" s="22" t="s">
        <v>35</v>
      </c>
      <c r="L41" s="101" t="s">
        <v>35</v>
      </c>
      <c r="M41" s="101" t="s">
        <v>39</v>
      </c>
      <c r="N41" s="97">
        <v>63030</v>
      </c>
      <c r="O41" s="97" t="s">
        <v>39</v>
      </c>
      <c r="P41" s="97" t="s">
        <v>39</v>
      </c>
      <c r="Q41" s="23">
        <v>0</v>
      </c>
      <c r="R41" s="22" t="s">
        <v>156</v>
      </c>
      <c r="S41" s="104" t="s">
        <v>60</v>
      </c>
      <c r="T41" s="104" t="s">
        <v>39</v>
      </c>
      <c r="U41" s="101" t="s">
        <v>61</v>
      </c>
      <c r="V41" s="103" t="s">
        <v>39</v>
      </c>
    </row>
    <row r="42" spans="1:22" ht="18.75" customHeight="1" x14ac:dyDescent="0.3">
      <c r="B42" s="21" t="s">
        <v>157</v>
      </c>
      <c r="C42" s="101" t="s">
        <v>32</v>
      </c>
      <c r="D42" s="101" t="s">
        <v>39</v>
      </c>
      <c r="E42" s="101" t="s">
        <v>39</v>
      </c>
      <c r="F42" s="102">
        <v>45791</v>
      </c>
      <c r="G42" s="102" t="s">
        <v>39</v>
      </c>
      <c r="H42" s="30">
        <v>45756</v>
      </c>
      <c r="I42" s="28" t="s">
        <v>158</v>
      </c>
      <c r="J42" s="22" t="s">
        <v>34</v>
      </c>
      <c r="K42" s="22" t="s">
        <v>35</v>
      </c>
      <c r="L42" s="101" t="s">
        <v>35</v>
      </c>
      <c r="M42" s="101" t="s">
        <v>39</v>
      </c>
      <c r="N42" s="97">
        <v>630</v>
      </c>
      <c r="O42" s="97" t="s">
        <v>39</v>
      </c>
      <c r="P42" s="97" t="s">
        <v>39</v>
      </c>
      <c r="Q42" s="23">
        <v>0</v>
      </c>
      <c r="R42" s="22" t="s">
        <v>159</v>
      </c>
      <c r="S42" s="104" t="s">
        <v>37</v>
      </c>
      <c r="T42" s="104" t="s">
        <v>39</v>
      </c>
      <c r="U42" s="101" t="s">
        <v>38</v>
      </c>
      <c r="V42" s="103" t="s">
        <v>39</v>
      </c>
    </row>
    <row r="43" spans="1:22" ht="18.75" customHeight="1" x14ac:dyDescent="0.3">
      <c r="B43" s="21" t="s">
        <v>160</v>
      </c>
      <c r="C43" s="101" t="s">
        <v>161</v>
      </c>
      <c r="D43" s="101" t="s">
        <v>39</v>
      </c>
      <c r="E43" s="101" t="s">
        <v>39</v>
      </c>
      <c r="F43" s="102">
        <v>44999</v>
      </c>
      <c r="G43" s="102" t="s">
        <v>39</v>
      </c>
      <c r="H43" s="30">
        <v>44975</v>
      </c>
      <c r="I43" s="28" t="s">
        <v>162</v>
      </c>
      <c r="J43" s="22" t="s">
        <v>34</v>
      </c>
      <c r="K43" s="22" t="s">
        <v>35</v>
      </c>
      <c r="L43" s="101" t="s">
        <v>35</v>
      </c>
      <c r="M43" s="101" t="s">
        <v>39</v>
      </c>
      <c r="N43" s="97">
        <v>40000</v>
      </c>
      <c r="O43" s="97" t="s">
        <v>39</v>
      </c>
      <c r="P43" s="97" t="s">
        <v>39</v>
      </c>
      <c r="Q43" s="23">
        <v>0</v>
      </c>
      <c r="R43" s="22" t="s">
        <v>163</v>
      </c>
      <c r="S43" s="104" t="s">
        <v>55</v>
      </c>
      <c r="T43" s="104" t="s">
        <v>39</v>
      </c>
      <c r="U43" s="101" t="s">
        <v>56</v>
      </c>
      <c r="V43" s="103" t="s">
        <v>39</v>
      </c>
    </row>
    <row r="44" spans="1:22" ht="18.75" customHeight="1" x14ac:dyDescent="0.3">
      <c r="B44" s="21" t="s">
        <v>164</v>
      </c>
      <c r="C44" s="101" t="s">
        <v>161</v>
      </c>
      <c r="D44" s="101" t="s">
        <v>39</v>
      </c>
      <c r="E44" s="101" t="s">
        <v>39</v>
      </c>
      <c r="F44" s="102">
        <v>44999</v>
      </c>
      <c r="G44" s="102" t="s">
        <v>39</v>
      </c>
      <c r="H44" s="30">
        <v>44975</v>
      </c>
      <c r="I44" s="28" t="s">
        <v>165</v>
      </c>
      <c r="J44" s="22" t="s">
        <v>34</v>
      </c>
      <c r="K44" s="22" t="s">
        <v>35</v>
      </c>
      <c r="L44" s="101" t="s">
        <v>35</v>
      </c>
      <c r="M44" s="101" t="s">
        <v>39</v>
      </c>
      <c r="N44" s="97">
        <v>53000</v>
      </c>
      <c r="O44" s="97" t="s">
        <v>39</v>
      </c>
      <c r="P44" s="97" t="s">
        <v>39</v>
      </c>
      <c r="Q44" s="23">
        <v>0</v>
      </c>
      <c r="R44" s="22" t="s">
        <v>166</v>
      </c>
      <c r="S44" s="104" t="s">
        <v>167</v>
      </c>
      <c r="T44" s="104" t="s">
        <v>39</v>
      </c>
      <c r="U44" s="101" t="s">
        <v>168</v>
      </c>
      <c r="V44" s="103" t="s">
        <v>39</v>
      </c>
    </row>
    <row r="45" spans="1:22" ht="18.75" customHeight="1" x14ac:dyDescent="0.3">
      <c r="B45" s="21" t="s">
        <v>169</v>
      </c>
      <c r="C45" s="101" t="s">
        <v>161</v>
      </c>
      <c r="D45" s="101" t="s">
        <v>39</v>
      </c>
      <c r="E45" s="101" t="s">
        <v>39</v>
      </c>
      <c r="F45" s="102">
        <v>44999</v>
      </c>
      <c r="G45" s="102" t="s">
        <v>39</v>
      </c>
      <c r="H45" s="30">
        <v>44975</v>
      </c>
      <c r="I45" s="28" t="s">
        <v>170</v>
      </c>
      <c r="J45" s="22" t="s">
        <v>34</v>
      </c>
      <c r="K45" s="22" t="s">
        <v>35</v>
      </c>
      <c r="L45" s="101" t="s">
        <v>35</v>
      </c>
      <c r="M45" s="101" t="s">
        <v>39</v>
      </c>
      <c r="N45" s="97">
        <v>2000</v>
      </c>
      <c r="O45" s="97" t="s">
        <v>39</v>
      </c>
      <c r="P45" s="97" t="s">
        <v>39</v>
      </c>
      <c r="Q45" s="23">
        <v>0</v>
      </c>
      <c r="R45" s="22" t="s">
        <v>171</v>
      </c>
      <c r="S45" s="104" t="s">
        <v>172</v>
      </c>
      <c r="T45" s="104" t="s">
        <v>39</v>
      </c>
      <c r="U45" s="101" t="s">
        <v>173</v>
      </c>
      <c r="V45" s="103" t="s">
        <v>39</v>
      </c>
    </row>
    <row r="46" spans="1:22" ht="18.75" customHeight="1" x14ac:dyDescent="0.3">
      <c r="B46" s="21" t="s">
        <v>174</v>
      </c>
      <c r="C46" s="101" t="s">
        <v>161</v>
      </c>
      <c r="D46" s="101" t="s">
        <v>39</v>
      </c>
      <c r="E46" s="101" t="s">
        <v>39</v>
      </c>
      <c r="F46" s="102">
        <v>44999</v>
      </c>
      <c r="G46" s="102" t="s">
        <v>39</v>
      </c>
      <c r="H46" s="30">
        <v>44975</v>
      </c>
      <c r="I46" s="28" t="s">
        <v>175</v>
      </c>
      <c r="J46" s="22" t="s">
        <v>34</v>
      </c>
      <c r="K46" s="22" t="s">
        <v>35</v>
      </c>
      <c r="L46" s="101" t="s">
        <v>35</v>
      </c>
      <c r="M46" s="101" t="s">
        <v>39</v>
      </c>
      <c r="N46" s="97">
        <v>1200</v>
      </c>
      <c r="O46" s="97" t="s">
        <v>39</v>
      </c>
      <c r="P46" s="97" t="s">
        <v>39</v>
      </c>
      <c r="Q46" s="23">
        <v>0</v>
      </c>
      <c r="R46" s="22" t="s">
        <v>176</v>
      </c>
      <c r="S46" s="104" t="s">
        <v>177</v>
      </c>
      <c r="T46" s="104" t="s">
        <v>39</v>
      </c>
      <c r="U46" s="101" t="s">
        <v>178</v>
      </c>
      <c r="V46" s="103" t="s">
        <v>39</v>
      </c>
    </row>
    <row r="47" spans="1:22" ht="18.75" customHeight="1" x14ac:dyDescent="0.3">
      <c r="B47" s="21" t="s">
        <v>179</v>
      </c>
      <c r="C47" s="101" t="s">
        <v>161</v>
      </c>
      <c r="D47" s="101" t="s">
        <v>39</v>
      </c>
      <c r="E47" s="101" t="s">
        <v>39</v>
      </c>
      <c r="F47" s="102">
        <v>44999</v>
      </c>
      <c r="G47" s="102" t="s">
        <v>39</v>
      </c>
      <c r="H47" s="30">
        <v>44975</v>
      </c>
      <c r="I47" s="28" t="s">
        <v>180</v>
      </c>
      <c r="J47" s="22" t="s">
        <v>34</v>
      </c>
      <c r="K47" s="22" t="s">
        <v>35</v>
      </c>
      <c r="L47" s="101" t="s">
        <v>35</v>
      </c>
      <c r="M47" s="101" t="s">
        <v>39</v>
      </c>
      <c r="N47" s="97">
        <v>1200</v>
      </c>
      <c r="O47" s="97" t="s">
        <v>39</v>
      </c>
      <c r="P47" s="97" t="s">
        <v>39</v>
      </c>
      <c r="Q47" s="23">
        <v>0</v>
      </c>
      <c r="R47" s="22" t="s">
        <v>181</v>
      </c>
      <c r="S47" s="104" t="s">
        <v>172</v>
      </c>
      <c r="T47" s="104" t="s">
        <v>39</v>
      </c>
      <c r="U47" s="101" t="s">
        <v>173</v>
      </c>
      <c r="V47" s="103" t="s">
        <v>39</v>
      </c>
    </row>
    <row r="48" spans="1:22" ht="18.75" customHeight="1" x14ac:dyDescent="0.3">
      <c r="B48" s="21" t="s">
        <v>182</v>
      </c>
      <c r="C48" s="101" t="s">
        <v>161</v>
      </c>
      <c r="D48" s="101" t="s">
        <v>39</v>
      </c>
      <c r="E48" s="101" t="s">
        <v>39</v>
      </c>
      <c r="F48" s="102">
        <v>44999</v>
      </c>
      <c r="G48" s="102" t="s">
        <v>39</v>
      </c>
      <c r="H48" s="30">
        <v>44974</v>
      </c>
      <c r="I48" s="28" t="s">
        <v>183</v>
      </c>
      <c r="J48" s="22" t="s">
        <v>34</v>
      </c>
      <c r="K48" s="22" t="s">
        <v>35</v>
      </c>
      <c r="L48" s="101" t="s">
        <v>35</v>
      </c>
      <c r="M48" s="101" t="s">
        <v>39</v>
      </c>
      <c r="N48" s="97">
        <v>2000</v>
      </c>
      <c r="O48" s="97" t="s">
        <v>39</v>
      </c>
      <c r="P48" s="97" t="s">
        <v>39</v>
      </c>
      <c r="Q48" s="23">
        <v>0</v>
      </c>
      <c r="R48" s="22" t="s">
        <v>184</v>
      </c>
      <c r="S48" s="104" t="s">
        <v>177</v>
      </c>
      <c r="T48" s="104" t="s">
        <v>39</v>
      </c>
      <c r="U48" s="101" t="s">
        <v>178</v>
      </c>
      <c r="V48" s="103" t="s">
        <v>39</v>
      </c>
    </row>
    <row r="49" spans="2:22" ht="18.75" customHeight="1" x14ac:dyDescent="0.3">
      <c r="B49" s="21" t="s">
        <v>185</v>
      </c>
      <c r="C49" s="101" t="s">
        <v>161</v>
      </c>
      <c r="D49" s="101" t="s">
        <v>39</v>
      </c>
      <c r="E49" s="101" t="s">
        <v>39</v>
      </c>
      <c r="F49" s="102">
        <v>44909</v>
      </c>
      <c r="G49" s="102" t="s">
        <v>39</v>
      </c>
      <c r="H49" s="30">
        <v>44893</v>
      </c>
      <c r="I49" s="28" t="s">
        <v>186</v>
      </c>
      <c r="J49" s="22" t="s">
        <v>34</v>
      </c>
      <c r="K49" s="22" t="s">
        <v>35</v>
      </c>
      <c r="L49" s="101" t="s">
        <v>35</v>
      </c>
      <c r="M49" s="101" t="s">
        <v>39</v>
      </c>
      <c r="N49" s="97">
        <v>9000</v>
      </c>
      <c r="O49" s="97" t="s">
        <v>39</v>
      </c>
      <c r="P49" s="97" t="s">
        <v>39</v>
      </c>
      <c r="Q49" s="23">
        <v>0</v>
      </c>
      <c r="R49" s="22" t="s">
        <v>187</v>
      </c>
      <c r="S49" s="104" t="s">
        <v>188</v>
      </c>
      <c r="T49" s="104" t="s">
        <v>39</v>
      </c>
      <c r="U49" s="101" t="s">
        <v>189</v>
      </c>
      <c r="V49" s="103" t="s">
        <v>39</v>
      </c>
    </row>
    <row r="50" spans="2:22" ht="18.75" customHeight="1" x14ac:dyDescent="0.3">
      <c r="B50" s="21" t="s">
        <v>190</v>
      </c>
      <c r="C50" s="101" t="s">
        <v>161</v>
      </c>
      <c r="D50" s="101" t="s">
        <v>39</v>
      </c>
      <c r="E50" s="101" t="s">
        <v>39</v>
      </c>
      <c r="F50" s="102">
        <v>44909</v>
      </c>
      <c r="G50" s="102" t="s">
        <v>39</v>
      </c>
      <c r="H50" s="30">
        <v>44880</v>
      </c>
      <c r="I50" s="28" t="s">
        <v>39</v>
      </c>
      <c r="J50" s="22" t="s">
        <v>34</v>
      </c>
      <c r="K50" s="22" t="s">
        <v>35</v>
      </c>
      <c r="L50" s="101" t="s">
        <v>35</v>
      </c>
      <c r="M50" s="101" t="s">
        <v>39</v>
      </c>
      <c r="N50" s="97">
        <v>300</v>
      </c>
      <c r="O50" s="97" t="s">
        <v>39</v>
      </c>
      <c r="P50" s="97" t="s">
        <v>39</v>
      </c>
      <c r="Q50" s="23">
        <v>0</v>
      </c>
      <c r="R50" s="22" t="s">
        <v>191</v>
      </c>
      <c r="S50" s="104" t="s">
        <v>192</v>
      </c>
      <c r="T50" s="104" t="s">
        <v>39</v>
      </c>
      <c r="U50" s="101" t="s">
        <v>193</v>
      </c>
      <c r="V50" s="103" t="s">
        <v>39</v>
      </c>
    </row>
    <row r="51" spans="2:22" ht="18.75" customHeight="1" x14ac:dyDescent="0.3">
      <c r="B51" s="21" t="s">
        <v>194</v>
      </c>
      <c r="C51" s="101" t="s">
        <v>161</v>
      </c>
      <c r="D51" s="101" t="s">
        <v>39</v>
      </c>
      <c r="E51" s="101" t="s">
        <v>39</v>
      </c>
      <c r="F51" s="102">
        <v>44879</v>
      </c>
      <c r="G51" s="102" t="s">
        <v>39</v>
      </c>
      <c r="H51" s="30">
        <v>44851</v>
      </c>
      <c r="I51" s="28" t="s">
        <v>39</v>
      </c>
      <c r="J51" s="22" t="s">
        <v>34</v>
      </c>
      <c r="K51" s="22" t="s">
        <v>35</v>
      </c>
      <c r="L51" s="101" t="s">
        <v>35</v>
      </c>
      <c r="M51" s="101" t="s">
        <v>39</v>
      </c>
      <c r="N51" s="97">
        <v>300</v>
      </c>
      <c r="O51" s="97" t="s">
        <v>39</v>
      </c>
      <c r="P51" s="97" t="s">
        <v>39</v>
      </c>
      <c r="Q51" s="23">
        <v>0</v>
      </c>
      <c r="R51" s="22" t="s">
        <v>191</v>
      </c>
      <c r="S51" s="104" t="s">
        <v>195</v>
      </c>
      <c r="T51" s="104" t="s">
        <v>39</v>
      </c>
      <c r="U51" s="101" t="s">
        <v>193</v>
      </c>
      <c r="V51" s="103" t="s">
        <v>39</v>
      </c>
    </row>
    <row r="52" spans="2:22" ht="18.75" customHeight="1" x14ac:dyDescent="0.3">
      <c r="B52" s="21" t="s">
        <v>196</v>
      </c>
      <c r="C52" s="101" t="s">
        <v>161</v>
      </c>
      <c r="D52" s="101" t="s">
        <v>39</v>
      </c>
      <c r="E52" s="101" t="s">
        <v>39</v>
      </c>
      <c r="F52" s="102">
        <v>44879</v>
      </c>
      <c r="G52" s="102" t="s">
        <v>39</v>
      </c>
      <c r="H52" s="30">
        <v>44844</v>
      </c>
      <c r="I52" s="28" t="s">
        <v>197</v>
      </c>
      <c r="J52" s="22" t="s">
        <v>34</v>
      </c>
      <c r="K52" s="22" t="s">
        <v>35</v>
      </c>
      <c r="L52" s="101" t="s">
        <v>35</v>
      </c>
      <c r="M52" s="101" t="s">
        <v>39</v>
      </c>
      <c r="N52" s="97">
        <v>28890</v>
      </c>
      <c r="O52" s="97" t="s">
        <v>39</v>
      </c>
      <c r="P52" s="97" t="s">
        <v>39</v>
      </c>
      <c r="Q52" s="23">
        <v>0</v>
      </c>
      <c r="R52" s="22" t="s">
        <v>198</v>
      </c>
      <c r="S52" s="104" t="s">
        <v>199</v>
      </c>
      <c r="T52" s="104" t="s">
        <v>39</v>
      </c>
      <c r="U52" s="101" t="s">
        <v>200</v>
      </c>
      <c r="V52" s="103" t="s">
        <v>39</v>
      </c>
    </row>
    <row r="53" spans="2:22" ht="18.75" customHeight="1" x14ac:dyDescent="0.3">
      <c r="B53" s="21" t="s">
        <v>201</v>
      </c>
      <c r="C53" s="101" t="s">
        <v>161</v>
      </c>
      <c r="D53" s="101" t="s">
        <v>39</v>
      </c>
      <c r="E53" s="101" t="s">
        <v>39</v>
      </c>
      <c r="F53" s="102">
        <v>44879</v>
      </c>
      <c r="G53" s="102" t="s">
        <v>39</v>
      </c>
      <c r="H53" s="30">
        <v>44844</v>
      </c>
      <c r="I53" s="28" t="s">
        <v>202</v>
      </c>
      <c r="J53" s="22" t="s">
        <v>34</v>
      </c>
      <c r="K53" s="22" t="s">
        <v>35</v>
      </c>
      <c r="L53" s="101" t="s">
        <v>35</v>
      </c>
      <c r="M53" s="101" t="s">
        <v>39</v>
      </c>
      <c r="N53" s="97">
        <v>19900</v>
      </c>
      <c r="O53" s="97" t="s">
        <v>39</v>
      </c>
      <c r="P53" s="97" t="s">
        <v>39</v>
      </c>
      <c r="Q53" s="23">
        <v>0</v>
      </c>
      <c r="R53" s="22" t="s">
        <v>203</v>
      </c>
      <c r="S53" s="104" t="s">
        <v>204</v>
      </c>
      <c r="T53" s="104" t="s">
        <v>39</v>
      </c>
      <c r="U53" s="101" t="s">
        <v>205</v>
      </c>
      <c r="V53" s="103" t="s">
        <v>39</v>
      </c>
    </row>
    <row r="54" spans="2:22" ht="18.75" customHeight="1" x14ac:dyDescent="0.3">
      <c r="B54" s="21" t="s">
        <v>206</v>
      </c>
      <c r="C54" s="101" t="s">
        <v>161</v>
      </c>
      <c r="D54" s="101" t="s">
        <v>39</v>
      </c>
      <c r="E54" s="101" t="s">
        <v>39</v>
      </c>
      <c r="F54" s="102">
        <v>44879</v>
      </c>
      <c r="G54" s="102" t="s">
        <v>39</v>
      </c>
      <c r="H54" s="30">
        <v>44844</v>
      </c>
      <c r="I54" s="28" t="s">
        <v>207</v>
      </c>
      <c r="J54" s="22" t="s">
        <v>34</v>
      </c>
      <c r="K54" s="22" t="s">
        <v>35</v>
      </c>
      <c r="L54" s="101" t="s">
        <v>35</v>
      </c>
      <c r="M54" s="101" t="s">
        <v>39</v>
      </c>
      <c r="N54" s="97">
        <v>30000</v>
      </c>
      <c r="O54" s="97" t="s">
        <v>39</v>
      </c>
      <c r="P54" s="97" t="s">
        <v>39</v>
      </c>
      <c r="Q54" s="23">
        <v>0</v>
      </c>
      <c r="R54" s="22" t="s">
        <v>208</v>
      </c>
      <c r="S54" s="104" t="s">
        <v>209</v>
      </c>
      <c r="T54" s="104" t="s">
        <v>39</v>
      </c>
      <c r="U54" s="101" t="s">
        <v>210</v>
      </c>
      <c r="V54" s="103" t="s">
        <v>39</v>
      </c>
    </row>
    <row r="55" spans="2:22" ht="18.75" customHeight="1" x14ac:dyDescent="0.3">
      <c r="B55" s="21" t="s">
        <v>211</v>
      </c>
      <c r="C55" s="101" t="s">
        <v>161</v>
      </c>
      <c r="D55" s="101" t="s">
        <v>39</v>
      </c>
      <c r="E55" s="101" t="s">
        <v>39</v>
      </c>
      <c r="F55" s="102">
        <v>44879</v>
      </c>
      <c r="G55" s="102" t="s">
        <v>39</v>
      </c>
      <c r="H55" s="30">
        <v>44841</v>
      </c>
      <c r="I55" s="28" t="s">
        <v>212</v>
      </c>
      <c r="J55" s="22" t="s">
        <v>34</v>
      </c>
      <c r="K55" s="22" t="s">
        <v>35</v>
      </c>
      <c r="L55" s="101" t="s">
        <v>35</v>
      </c>
      <c r="M55" s="101" t="s">
        <v>39</v>
      </c>
      <c r="N55" s="97">
        <v>170100</v>
      </c>
      <c r="O55" s="97" t="s">
        <v>39</v>
      </c>
      <c r="P55" s="97" t="s">
        <v>39</v>
      </c>
      <c r="Q55" s="23">
        <v>0</v>
      </c>
      <c r="R55" s="22" t="s">
        <v>213</v>
      </c>
      <c r="S55" s="104" t="s">
        <v>214</v>
      </c>
      <c r="T55" s="104" t="s">
        <v>39</v>
      </c>
      <c r="U55" s="101" t="s">
        <v>215</v>
      </c>
      <c r="V55" s="103" t="s">
        <v>39</v>
      </c>
    </row>
    <row r="56" spans="2:22" ht="18.75" customHeight="1" x14ac:dyDescent="0.3">
      <c r="B56" s="21" t="s">
        <v>216</v>
      </c>
      <c r="C56" s="101" t="s">
        <v>161</v>
      </c>
      <c r="D56" s="101" t="s">
        <v>39</v>
      </c>
      <c r="E56" s="101" t="s">
        <v>39</v>
      </c>
      <c r="F56" s="102">
        <v>44879</v>
      </c>
      <c r="G56" s="102" t="s">
        <v>39</v>
      </c>
      <c r="H56" s="30">
        <v>44840</v>
      </c>
      <c r="I56" s="28" t="s">
        <v>217</v>
      </c>
      <c r="J56" s="22" t="s">
        <v>34</v>
      </c>
      <c r="K56" s="22" t="s">
        <v>35</v>
      </c>
      <c r="L56" s="101" t="s">
        <v>35</v>
      </c>
      <c r="M56" s="101" t="s">
        <v>39</v>
      </c>
      <c r="N56" s="97">
        <v>500</v>
      </c>
      <c r="O56" s="97" t="s">
        <v>39</v>
      </c>
      <c r="P56" s="97" t="s">
        <v>39</v>
      </c>
      <c r="Q56" s="23">
        <v>0</v>
      </c>
      <c r="R56" s="22" t="s">
        <v>218</v>
      </c>
      <c r="S56" s="104" t="s">
        <v>219</v>
      </c>
      <c r="T56" s="104" t="s">
        <v>39</v>
      </c>
      <c r="U56" s="101" t="s">
        <v>220</v>
      </c>
      <c r="V56" s="103" t="s">
        <v>39</v>
      </c>
    </row>
    <row r="57" spans="2:22" ht="18.75" customHeight="1" x14ac:dyDescent="0.3">
      <c r="B57" s="21" t="s">
        <v>221</v>
      </c>
      <c r="C57" s="101" t="s">
        <v>161</v>
      </c>
      <c r="D57" s="101" t="s">
        <v>39</v>
      </c>
      <c r="E57" s="101" t="s">
        <v>39</v>
      </c>
      <c r="F57" s="102">
        <v>44879</v>
      </c>
      <c r="G57" s="102" t="s">
        <v>39</v>
      </c>
      <c r="H57" s="30">
        <v>44840</v>
      </c>
      <c r="I57" s="28" t="s">
        <v>222</v>
      </c>
      <c r="J57" s="22" t="s">
        <v>34</v>
      </c>
      <c r="K57" s="22" t="s">
        <v>35</v>
      </c>
      <c r="L57" s="101" t="s">
        <v>35</v>
      </c>
      <c r="M57" s="101" t="s">
        <v>39</v>
      </c>
      <c r="N57" s="97">
        <v>26000</v>
      </c>
      <c r="O57" s="97" t="s">
        <v>39</v>
      </c>
      <c r="P57" s="97" t="s">
        <v>39</v>
      </c>
      <c r="Q57" s="23">
        <v>0</v>
      </c>
      <c r="R57" s="22" t="s">
        <v>223</v>
      </c>
      <c r="S57" s="104" t="s">
        <v>80</v>
      </c>
      <c r="T57" s="104" t="s">
        <v>39</v>
      </c>
      <c r="U57" s="101" t="s">
        <v>81</v>
      </c>
      <c r="V57" s="103" t="s">
        <v>39</v>
      </c>
    </row>
    <row r="58" spans="2:22" ht="18.75" customHeight="1" x14ac:dyDescent="0.3">
      <c r="B58" s="21" t="s">
        <v>224</v>
      </c>
      <c r="C58" s="101" t="s">
        <v>161</v>
      </c>
      <c r="D58" s="101" t="s">
        <v>39</v>
      </c>
      <c r="E58" s="101" t="s">
        <v>39</v>
      </c>
      <c r="F58" s="102">
        <v>44879</v>
      </c>
      <c r="G58" s="102" t="s">
        <v>39</v>
      </c>
      <c r="H58" s="30">
        <v>44839</v>
      </c>
      <c r="I58" s="28" t="s">
        <v>225</v>
      </c>
      <c r="J58" s="22" t="s">
        <v>34</v>
      </c>
      <c r="K58" s="22" t="s">
        <v>35</v>
      </c>
      <c r="L58" s="101" t="s">
        <v>35</v>
      </c>
      <c r="M58" s="101" t="s">
        <v>39</v>
      </c>
      <c r="N58" s="97">
        <v>20000</v>
      </c>
      <c r="O58" s="97" t="s">
        <v>39</v>
      </c>
      <c r="P58" s="97" t="s">
        <v>39</v>
      </c>
      <c r="Q58" s="23">
        <v>0</v>
      </c>
      <c r="R58" s="22" t="s">
        <v>226</v>
      </c>
      <c r="S58" s="104" t="s">
        <v>142</v>
      </c>
      <c r="T58" s="104" t="s">
        <v>39</v>
      </c>
      <c r="U58" s="101" t="s">
        <v>143</v>
      </c>
      <c r="V58" s="103" t="s">
        <v>39</v>
      </c>
    </row>
    <row r="59" spans="2:22" ht="18.75" customHeight="1" x14ac:dyDescent="0.3">
      <c r="B59" s="21" t="s">
        <v>227</v>
      </c>
      <c r="C59" s="101" t="s">
        <v>161</v>
      </c>
      <c r="D59" s="101" t="s">
        <v>39</v>
      </c>
      <c r="E59" s="101" t="s">
        <v>39</v>
      </c>
      <c r="F59" s="102">
        <v>44879</v>
      </c>
      <c r="G59" s="102" t="s">
        <v>39</v>
      </c>
      <c r="H59" s="30">
        <v>44838</v>
      </c>
      <c r="I59" s="28" t="s">
        <v>228</v>
      </c>
      <c r="J59" s="22" t="s">
        <v>34</v>
      </c>
      <c r="K59" s="22" t="s">
        <v>35</v>
      </c>
      <c r="L59" s="101" t="s">
        <v>35</v>
      </c>
      <c r="M59" s="101" t="s">
        <v>39</v>
      </c>
      <c r="N59" s="97">
        <v>162870</v>
      </c>
      <c r="O59" s="97" t="s">
        <v>39</v>
      </c>
      <c r="P59" s="97" t="s">
        <v>39</v>
      </c>
      <c r="Q59" s="23">
        <v>0</v>
      </c>
      <c r="R59" s="22" t="s">
        <v>229</v>
      </c>
      <c r="S59" s="104" t="s">
        <v>114</v>
      </c>
      <c r="T59" s="104" t="s">
        <v>39</v>
      </c>
      <c r="U59" s="101" t="s">
        <v>115</v>
      </c>
      <c r="V59" s="103" t="s">
        <v>39</v>
      </c>
    </row>
    <row r="60" spans="2:22" ht="18.75" customHeight="1" x14ac:dyDescent="0.3">
      <c r="B60" s="21" t="s">
        <v>230</v>
      </c>
      <c r="C60" s="101" t="s">
        <v>161</v>
      </c>
      <c r="D60" s="101" t="s">
        <v>39</v>
      </c>
      <c r="E60" s="101" t="s">
        <v>39</v>
      </c>
      <c r="F60" s="102">
        <v>44879</v>
      </c>
      <c r="G60" s="102" t="s">
        <v>39</v>
      </c>
      <c r="H60" s="30">
        <v>44835</v>
      </c>
      <c r="I60" s="28" t="s">
        <v>231</v>
      </c>
      <c r="J60" s="22" t="s">
        <v>34</v>
      </c>
      <c r="K60" s="22" t="s">
        <v>35</v>
      </c>
      <c r="L60" s="101" t="s">
        <v>35</v>
      </c>
      <c r="M60" s="101" t="s">
        <v>39</v>
      </c>
      <c r="N60" s="97">
        <v>4000</v>
      </c>
      <c r="O60" s="97" t="s">
        <v>39</v>
      </c>
      <c r="P60" s="97" t="s">
        <v>39</v>
      </c>
      <c r="Q60" s="23">
        <v>0</v>
      </c>
      <c r="R60" s="22" t="s">
        <v>232</v>
      </c>
      <c r="S60" s="104" t="s">
        <v>233</v>
      </c>
      <c r="T60" s="104" t="s">
        <v>39</v>
      </c>
      <c r="U60" s="101" t="s">
        <v>135</v>
      </c>
      <c r="V60" s="103" t="s">
        <v>39</v>
      </c>
    </row>
    <row r="61" spans="2:22" ht="18.75" customHeight="1" x14ac:dyDescent="0.3">
      <c r="B61" s="21" t="s">
        <v>234</v>
      </c>
      <c r="C61" s="101" t="s">
        <v>161</v>
      </c>
      <c r="D61" s="101" t="s">
        <v>39</v>
      </c>
      <c r="E61" s="101" t="s">
        <v>39</v>
      </c>
      <c r="F61" s="102">
        <v>44848</v>
      </c>
      <c r="G61" s="102" t="s">
        <v>39</v>
      </c>
      <c r="H61" s="30">
        <v>44830</v>
      </c>
      <c r="I61" s="28" t="s">
        <v>235</v>
      </c>
      <c r="J61" s="22" t="s">
        <v>34</v>
      </c>
      <c r="K61" s="22" t="s">
        <v>35</v>
      </c>
      <c r="L61" s="101" t="s">
        <v>35</v>
      </c>
      <c r="M61" s="101" t="s">
        <v>39</v>
      </c>
      <c r="N61" s="97">
        <v>139620</v>
      </c>
      <c r="O61" s="97" t="s">
        <v>39</v>
      </c>
      <c r="P61" s="97" t="s">
        <v>39</v>
      </c>
      <c r="Q61" s="23">
        <v>0</v>
      </c>
      <c r="R61" s="22" t="s">
        <v>236</v>
      </c>
      <c r="S61" s="104" t="s">
        <v>114</v>
      </c>
      <c r="T61" s="104" t="s">
        <v>39</v>
      </c>
      <c r="U61" s="101" t="s">
        <v>115</v>
      </c>
      <c r="V61" s="103" t="s">
        <v>39</v>
      </c>
    </row>
    <row r="62" spans="2:22" ht="18.75" customHeight="1" x14ac:dyDescent="0.3">
      <c r="B62" s="21" t="s">
        <v>237</v>
      </c>
      <c r="C62" s="101" t="s">
        <v>161</v>
      </c>
      <c r="D62" s="101" t="s">
        <v>39</v>
      </c>
      <c r="E62" s="101" t="s">
        <v>39</v>
      </c>
      <c r="F62" s="102">
        <v>44848</v>
      </c>
      <c r="G62" s="102" t="s">
        <v>39</v>
      </c>
      <c r="H62" s="30">
        <v>44829</v>
      </c>
      <c r="I62" s="28" t="s">
        <v>238</v>
      </c>
      <c r="J62" s="22" t="s">
        <v>34</v>
      </c>
      <c r="K62" s="22" t="s">
        <v>35</v>
      </c>
      <c r="L62" s="101" t="s">
        <v>35</v>
      </c>
      <c r="M62" s="101" t="s">
        <v>39</v>
      </c>
      <c r="N62" s="97">
        <v>22400</v>
      </c>
      <c r="O62" s="97" t="s">
        <v>39</v>
      </c>
      <c r="P62" s="97" t="s">
        <v>39</v>
      </c>
      <c r="Q62" s="23">
        <v>0</v>
      </c>
      <c r="R62" s="22" t="s">
        <v>239</v>
      </c>
      <c r="S62" s="104" t="s">
        <v>240</v>
      </c>
      <c r="T62" s="104" t="s">
        <v>39</v>
      </c>
      <c r="U62" s="101" t="s">
        <v>241</v>
      </c>
      <c r="V62" s="103" t="s">
        <v>39</v>
      </c>
    </row>
    <row r="63" spans="2:22" ht="18.75" customHeight="1" x14ac:dyDescent="0.3">
      <c r="B63" s="21" t="s">
        <v>242</v>
      </c>
      <c r="C63" s="101" t="s">
        <v>161</v>
      </c>
      <c r="D63" s="101" t="s">
        <v>39</v>
      </c>
      <c r="E63" s="101" t="s">
        <v>39</v>
      </c>
      <c r="F63" s="102">
        <v>44848</v>
      </c>
      <c r="G63" s="102" t="s">
        <v>39</v>
      </c>
      <c r="H63" s="30">
        <v>44829</v>
      </c>
      <c r="I63" s="28" t="s">
        <v>243</v>
      </c>
      <c r="J63" s="22" t="s">
        <v>34</v>
      </c>
      <c r="K63" s="22" t="s">
        <v>35</v>
      </c>
      <c r="L63" s="101" t="s">
        <v>35</v>
      </c>
      <c r="M63" s="101" t="s">
        <v>39</v>
      </c>
      <c r="N63" s="97">
        <v>75920</v>
      </c>
      <c r="O63" s="97" t="s">
        <v>39</v>
      </c>
      <c r="P63" s="97" t="s">
        <v>39</v>
      </c>
      <c r="Q63" s="23">
        <v>0</v>
      </c>
      <c r="R63" s="22" t="s">
        <v>244</v>
      </c>
      <c r="S63" s="104" t="s">
        <v>240</v>
      </c>
      <c r="T63" s="104" t="s">
        <v>39</v>
      </c>
      <c r="U63" s="101" t="s">
        <v>241</v>
      </c>
      <c r="V63" s="103" t="s">
        <v>39</v>
      </c>
    </row>
    <row r="64" spans="2:22" ht="18.75" customHeight="1" x14ac:dyDescent="0.3">
      <c r="B64" s="21" t="s">
        <v>245</v>
      </c>
      <c r="C64" s="101" t="s">
        <v>161</v>
      </c>
      <c r="D64" s="101" t="s">
        <v>39</v>
      </c>
      <c r="E64" s="101" t="s">
        <v>39</v>
      </c>
      <c r="F64" s="102">
        <v>44848</v>
      </c>
      <c r="G64" s="102" t="s">
        <v>39</v>
      </c>
      <c r="H64" s="30">
        <v>44821</v>
      </c>
      <c r="I64" s="28" t="s">
        <v>246</v>
      </c>
      <c r="J64" s="22" t="s">
        <v>34</v>
      </c>
      <c r="K64" s="22" t="s">
        <v>35</v>
      </c>
      <c r="L64" s="101" t="s">
        <v>35</v>
      </c>
      <c r="M64" s="101" t="s">
        <v>39</v>
      </c>
      <c r="N64" s="97">
        <v>29000</v>
      </c>
      <c r="O64" s="97" t="s">
        <v>39</v>
      </c>
      <c r="P64" s="97" t="s">
        <v>39</v>
      </c>
      <c r="Q64" s="23">
        <v>0</v>
      </c>
      <c r="R64" s="22" t="s">
        <v>247</v>
      </c>
      <c r="S64" s="104" t="s">
        <v>248</v>
      </c>
      <c r="T64" s="104" t="s">
        <v>39</v>
      </c>
      <c r="U64" s="101" t="s">
        <v>249</v>
      </c>
      <c r="V64" s="103" t="s">
        <v>39</v>
      </c>
    </row>
    <row r="65" spans="2:22" ht="18.75" customHeight="1" x14ac:dyDescent="0.3">
      <c r="B65" s="21" t="s">
        <v>250</v>
      </c>
      <c r="C65" s="101" t="s">
        <v>161</v>
      </c>
      <c r="D65" s="101" t="s">
        <v>39</v>
      </c>
      <c r="E65" s="101" t="s">
        <v>39</v>
      </c>
      <c r="F65" s="102">
        <v>44848</v>
      </c>
      <c r="G65" s="102" t="s">
        <v>39</v>
      </c>
      <c r="H65" s="30">
        <v>44819</v>
      </c>
      <c r="I65" s="28" t="s">
        <v>39</v>
      </c>
      <c r="J65" s="22" t="s">
        <v>34</v>
      </c>
      <c r="K65" s="22" t="s">
        <v>35</v>
      </c>
      <c r="L65" s="101" t="s">
        <v>35</v>
      </c>
      <c r="M65" s="101" t="s">
        <v>39</v>
      </c>
      <c r="N65" s="97">
        <v>300</v>
      </c>
      <c r="O65" s="97" t="s">
        <v>39</v>
      </c>
      <c r="P65" s="97" t="s">
        <v>39</v>
      </c>
      <c r="Q65" s="23">
        <v>0</v>
      </c>
      <c r="R65" s="22" t="s">
        <v>191</v>
      </c>
      <c r="S65" s="104" t="s">
        <v>251</v>
      </c>
      <c r="T65" s="104" t="s">
        <v>39</v>
      </c>
      <c r="U65" s="101" t="s">
        <v>193</v>
      </c>
      <c r="V65" s="103" t="s">
        <v>39</v>
      </c>
    </row>
    <row r="66" spans="2:22" ht="18.75" customHeight="1" x14ac:dyDescent="0.3">
      <c r="B66" s="21" t="s">
        <v>252</v>
      </c>
      <c r="C66" s="101" t="s">
        <v>161</v>
      </c>
      <c r="D66" s="101" t="s">
        <v>39</v>
      </c>
      <c r="E66" s="101" t="s">
        <v>39</v>
      </c>
      <c r="F66" s="102">
        <v>44848</v>
      </c>
      <c r="G66" s="102" t="s">
        <v>39</v>
      </c>
      <c r="H66" s="30">
        <v>44812</v>
      </c>
      <c r="I66" s="28" t="s">
        <v>253</v>
      </c>
      <c r="J66" s="22" t="s">
        <v>34</v>
      </c>
      <c r="K66" s="22" t="s">
        <v>35</v>
      </c>
      <c r="L66" s="101" t="s">
        <v>35</v>
      </c>
      <c r="M66" s="101" t="s">
        <v>39</v>
      </c>
      <c r="N66" s="97">
        <v>50000</v>
      </c>
      <c r="O66" s="97" t="s">
        <v>39</v>
      </c>
      <c r="P66" s="97" t="s">
        <v>39</v>
      </c>
      <c r="Q66" s="23">
        <v>0</v>
      </c>
      <c r="R66" s="22" t="s">
        <v>254</v>
      </c>
      <c r="S66" s="104" t="s">
        <v>142</v>
      </c>
      <c r="T66" s="104" t="s">
        <v>39</v>
      </c>
      <c r="U66" s="101" t="s">
        <v>143</v>
      </c>
      <c r="V66" s="103" t="s">
        <v>39</v>
      </c>
    </row>
    <row r="67" spans="2:22" ht="18.75" customHeight="1" x14ac:dyDescent="0.3">
      <c r="B67" s="21" t="s">
        <v>255</v>
      </c>
      <c r="C67" s="101" t="s">
        <v>161</v>
      </c>
      <c r="D67" s="101" t="s">
        <v>39</v>
      </c>
      <c r="E67" s="101" t="s">
        <v>39</v>
      </c>
      <c r="F67" s="102">
        <v>44848</v>
      </c>
      <c r="G67" s="102" t="s">
        <v>39</v>
      </c>
      <c r="H67" s="30">
        <v>44810</v>
      </c>
      <c r="I67" s="28" t="s">
        <v>256</v>
      </c>
      <c r="J67" s="22" t="s">
        <v>34</v>
      </c>
      <c r="K67" s="22" t="s">
        <v>35</v>
      </c>
      <c r="L67" s="101" t="s">
        <v>35</v>
      </c>
      <c r="M67" s="101" t="s">
        <v>39</v>
      </c>
      <c r="N67" s="97">
        <v>3900</v>
      </c>
      <c r="O67" s="97" t="s">
        <v>39</v>
      </c>
      <c r="P67" s="97" t="s">
        <v>39</v>
      </c>
      <c r="Q67" s="23">
        <v>0</v>
      </c>
      <c r="R67" s="22" t="s">
        <v>257</v>
      </c>
      <c r="S67" s="104" t="s">
        <v>85</v>
      </c>
      <c r="T67" s="104" t="s">
        <v>39</v>
      </c>
      <c r="U67" s="101" t="s">
        <v>86</v>
      </c>
      <c r="V67" s="103" t="s">
        <v>39</v>
      </c>
    </row>
    <row r="68" spans="2:22" ht="18.75" customHeight="1" x14ac:dyDescent="0.3">
      <c r="B68" s="21" t="s">
        <v>258</v>
      </c>
      <c r="C68" s="101" t="s">
        <v>161</v>
      </c>
      <c r="D68" s="101" t="s">
        <v>39</v>
      </c>
      <c r="E68" s="101" t="s">
        <v>39</v>
      </c>
      <c r="F68" s="102">
        <v>44848</v>
      </c>
      <c r="G68" s="102" t="s">
        <v>39</v>
      </c>
      <c r="H68" s="30">
        <v>44810</v>
      </c>
      <c r="I68" s="28" t="s">
        <v>259</v>
      </c>
      <c r="J68" s="22" t="s">
        <v>34</v>
      </c>
      <c r="K68" s="22" t="s">
        <v>35</v>
      </c>
      <c r="L68" s="101" t="s">
        <v>35</v>
      </c>
      <c r="M68" s="101" t="s">
        <v>39</v>
      </c>
      <c r="N68" s="97">
        <v>209000</v>
      </c>
      <c r="O68" s="97" t="s">
        <v>39</v>
      </c>
      <c r="P68" s="97" t="s">
        <v>39</v>
      </c>
      <c r="Q68" s="23">
        <v>0</v>
      </c>
      <c r="R68" s="22" t="s">
        <v>260</v>
      </c>
      <c r="S68" s="104" t="s">
        <v>114</v>
      </c>
      <c r="T68" s="104" t="s">
        <v>39</v>
      </c>
      <c r="U68" s="101" t="s">
        <v>115</v>
      </c>
      <c r="V68" s="103" t="s">
        <v>39</v>
      </c>
    </row>
    <row r="69" spans="2:22" ht="18.75" customHeight="1" x14ac:dyDescent="0.3">
      <c r="B69" s="21" t="s">
        <v>261</v>
      </c>
      <c r="C69" s="101" t="s">
        <v>161</v>
      </c>
      <c r="D69" s="101" t="s">
        <v>39</v>
      </c>
      <c r="E69" s="101" t="s">
        <v>39</v>
      </c>
      <c r="F69" s="102">
        <v>44848</v>
      </c>
      <c r="G69" s="102" t="s">
        <v>39</v>
      </c>
      <c r="H69" s="30">
        <v>44806</v>
      </c>
      <c r="I69" s="28" t="s">
        <v>262</v>
      </c>
      <c r="J69" s="22" t="s">
        <v>34</v>
      </c>
      <c r="K69" s="22" t="s">
        <v>35</v>
      </c>
      <c r="L69" s="101" t="s">
        <v>35</v>
      </c>
      <c r="M69" s="101" t="s">
        <v>39</v>
      </c>
      <c r="N69" s="97">
        <v>164740</v>
      </c>
      <c r="O69" s="97" t="s">
        <v>39</v>
      </c>
      <c r="P69" s="97" t="s">
        <v>39</v>
      </c>
      <c r="Q69" s="23">
        <v>0</v>
      </c>
      <c r="R69" s="22" t="s">
        <v>263</v>
      </c>
      <c r="S69" s="104" t="s">
        <v>114</v>
      </c>
      <c r="T69" s="104" t="s">
        <v>39</v>
      </c>
      <c r="U69" s="101" t="s">
        <v>115</v>
      </c>
      <c r="V69" s="103" t="s">
        <v>39</v>
      </c>
    </row>
    <row r="70" spans="2:22" ht="18.75" customHeight="1" x14ac:dyDescent="0.3">
      <c r="B70" s="21" t="s">
        <v>264</v>
      </c>
      <c r="C70" s="101" t="s">
        <v>161</v>
      </c>
      <c r="D70" s="101" t="s">
        <v>39</v>
      </c>
      <c r="E70" s="101" t="s">
        <v>39</v>
      </c>
      <c r="F70" s="102">
        <v>44848</v>
      </c>
      <c r="G70" s="102" t="s">
        <v>39</v>
      </c>
      <c r="H70" s="30">
        <v>44805</v>
      </c>
      <c r="I70" s="28" t="s">
        <v>265</v>
      </c>
      <c r="J70" s="22" t="s">
        <v>34</v>
      </c>
      <c r="K70" s="22" t="s">
        <v>35</v>
      </c>
      <c r="L70" s="101" t="s">
        <v>35</v>
      </c>
      <c r="M70" s="101" t="s">
        <v>39</v>
      </c>
      <c r="N70" s="97">
        <v>78400</v>
      </c>
      <c r="O70" s="97" t="s">
        <v>39</v>
      </c>
      <c r="P70" s="97" t="s">
        <v>39</v>
      </c>
      <c r="Q70" s="23">
        <v>0</v>
      </c>
      <c r="R70" s="22" t="s">
        <v>266</v>
      </c>
      <c r="S70" s="104" t="s">
        <v>267</v>
      </c>
      <c r="T70" s="104" t="s">
        <v>39</v>
      </c>
      <c r="U70" s="101" t="s">
        <v>268</v>
      </c>
      <c r="V70" s="103" t="s">
        <v>39</v>
      </c>
    </row>
    <row r="71" spans="2:22" ht="18.75" customHeight="1" x14ac:dyDescent="0.3">
      <c r="B71" s="21" t="s">
        <v>269</v>
      </c>
      <c r="C71" s="101" t="s">
        <v>161</v>
      </c>
      <c r="D71" s="101" t="s">
        <v>39</v>
      </c>
      <c r="E71" s="101" t="s">
        <v>39</v>
      </c>
      <c r="F71" s="102">
        <v>44848</v>
      </c>
      <c r="G71" s="102" t="s">
        <v>39</v>
      </c>
      <c r="H71" s="30">
        <v>44805</v>
      </c>
      <c r="I71" s="28" t="s">
        <v>270</v>
      </c>
      <c r="J71" s="22" t="s">
        <v>34</v>
      </c>
      <c r="K71" s="22" t="s">
        <v>35</v>
      </c>
      <c r="L71" s="101" t="s">
        <v>35</v>
      </c>
      <c r="M71" s="101" t="s">
        <v>39</v>
      </c>
      <c r="N71" s="97">
        <v>34000</v>
      </c>
      <c r="O71" s="97" t="s">
        <v>39</v>
      </c>
      <c r="P71" s="97" t="s">
        <v>39</v>
      </c>
      <c r="Q71" s="23">
        <v>0</v>
      </c>
      <c r="R71" s="22" t="s">
        <v>271</v>
      </c>
      <c r="S71" s="104" t="s">
        <v>267</v>
      </c>
      <c r="T71" s="104" t="s">
        <v>39</v>
      </c>
      <c r="U71" s="101" t="s">
        <v>268</v>
      </c>
      <c r="V71" s="103" t="s">
        <v>39</v>
      </c>
    </row>
    <row r="72" spans="2:22" ht="18.75" customHeight="1" x14ac:dyDescent="0.3">
      <c r="B72" s="21" t="s">
        <v>272</v>
      </c>
      <c r="C72" s="101" t="s">
        <v>161</v>
      </c>
      <c r="D72" s="101" t="s">
        <v>39</v>
      </c>
      <c r="E72" s="101" t="s">
        <v>39</v>
      </c>
      <c r="F72" s="102">
        <v>44818</v>
      </c>
      <c r="G72" s="102" t="s">
        <v>39</v>
      </c>
      <c r="H72" s="30">
        <v>44804</v>
      </c>
      <c r="I72" s="28" t="s">
        <v>273</v>
      </c>
      <c r="J72" s="22" t="s">
        <v>34</v>
      </c>
      <c r="K72" s="22" t="s">
        <v>35</v>
      </c>
      <c r="L72" s="101" t="s">
        <v>35</v>
      </c>
      <c r="M72" s="101" t="s">
        <v>39</v>
      </c>
      <c r="N72" s="97">
        <v>88460</v>
      </c>
      <c r="O72" s="97" t="s">
        <v>39</v>
      </c>
      <c r="P72" s="97" t="s">
        <v>39</v>
      </c>
      <c r="Q72" s="23">
        <v>0</v>
      </c>
      <c r="R72" s="22" t="s">
        <v>274</v>
      </c>
      <c r="S72" s="104" t="s">
        <v>275</v>
      </c>
      <c r="T72" s="104" t="s">
        <v>39</v>
      </c>
      <c r="U72" s="101" t="s">
        <v>276</v>
      </c>
      <c r="V72" s="103" t="s">
        <v>39</v>
      </c>
    </row>
    <row r="73" spans="2:22" ht="18.75" customHeight="1" x14ac:dyDescent="0.3">
      <c r="B73" s="21" t="s">
        <v>277</v>
      </c>
      <c r="C73" s="101" t="s">
        <v>161</v>
      </c>
      <c r="D73" s="101" t="s">
        <v>39</v>
      </c>
      <c r="E73" s="101" t="s">
        <v>39</v>
      </c>
      <c r="F73" s="102">
        <v>44818</v>
      </c>
      <c r="G73" s="102" t="s">
        <v>39</v>
      </c>
      <c r="H73" s="30">
        <v>44804</v>
      </c>
      <c r="I73" s="28" t="s">
        <v>278</v>
      </c>
      <c r="J73" s="22" t="s">
        <v>34</v>
      </c>
      <c r="K73" s="22" t="s">
        <v>35</v>
      </c>
      <c r="L73" s="101" t="s">
        <v>35</v>
      </c>
      <c r="M73" s="101" t="s">
        <v>39</v>
      </c>
      <c r="N73" s="97">
        <v>57000</v>
      </c>
      <c r="O73" s="97" t="s">
        <v>39</v>
      </c>
      <c r="P73" s="97" t="s">
        <v>39</v>
      </c>
      <c r="Q73" s="23">
        <v>0</v>
      </c>
      <c r="R73" s="22" t="s">
        <v>279</v>
      </c>
      <c r="S73" s="104" t="s">
        <v>280</v>
      </c>
      <c r="T73" s="104" t="s">
        <v>39</v>
      </c>
      <c r="U73" s="101" t="s">
        <v>281</v>
      </c>
      <c r="V73" s="103" t="s">
        <v>39</v>
      </c>
    </row>
    <row r="74" spans="2:22" ht="18.75" customHeight="1" x14ac:dyDescent="0.3">
      <c r="B74" s="21" t="s">
        <v>282</v>
      </c>
      <c r="C74" s="101" t="s">
        <v>161</v>
      </c>
      <c r="D74" s="101" t="s">
        <v>39</v>
      </c>
      <c r="E74" s="101" t="s">
        <v>39</v>
      </c>
      <c r="F74" s="102">
        <v>44818</v>
      </c>
      <c r="G74" s="102" t="s">
        <v>39</v>
      </c>
      <c r="H74" s="30">
        <v>44803</v>
      </c>
      <c r="I74" s="28" t="s">
        <v>283</v>
      </c>
      <c r="J74" s="22" t="s">
        <v>34</v>
      </c>
      <c r="K74" s="22" t="s">
        <v>35</v>
      </c>
      <c r="L74" s="101" t="s">
        <v>35</v>
      </c>
      <c r="M74" s="101" t="s">
        <v>39</v>
      </c>
      <c r="N74" s="97">
        <v>28000</v>
      </c>
      <c r="O74" s="97" t="s">
        <v>39</v>
      </c>
      <c r="P74" s="97" t="s">
        <v>39</v>
      </c>
      <c r="Q74" s="23">
        <v>0</v>
      </c>
      <c r="R74" s="22" t="s">
        <v>284</v>
      </c>
      <c r="S74" s="104" t="s">
        <v>285</v>
      </c>
      <c r="T74" s="104" t="s">
        <v>39</v>
      </c>
      <c r="U74" s="101" t="s">
        <v>286</v>
      </c>
      <c r="V74" s="103" t="s">
        <v>39</v>
      </c>
    </row>
    <row r="75" spans="2:22" ht="18.75" customHeight="1" x14ac:dyDescent="0.3">
      <c r="B75" s="21" t="s">
        <v>287</v>
      </c>
      <c r="C75" s="101" t="s">
        <v>161</v>
      </c>
      <c r="D75" s="101" t="s">
        <v>39</v>
      </c>
      <c r="E75" s="101" t="s">
        <v>39</v>
      </c>
      <c r="F75" s="102">
        <v>44818</v>
      </c>
      <c r="G75" s="102" t="s">
        <v>39</v>
      </c>
      <c r="H75" s="30">
        <v>44803</v>
      </c>
      <c r="I75" s="28" t="s">
        <v>288</v>
      </c>
      <c r="J75" s="22" t="s">
        <v>34</v>
      </c>
      <c r="K75" s="22" t="s">
        <v>35</v>
      </c>
      <c r="L75" s="101" t="s">
        <v>35</v>
      </c>
      <c r="M75" s="101" t="s">
        <v>39</v>
      </c>
      <c r="N75" s="97">
        <v>17750</v>
      </c>
      <c r="O75" s="97" t="s">
        <v>39</v>
      </c>
      <c r="P75" s="97" t="s">
        <v>39</v>
      </c>
      <c r="Q75" s="23">
        <v>0</v>
      </c>
      <c r="R75" s="22" t="s">
        <v>289</v>
      </c>
      <c r="S75" s="104" t="s">
        <v>290</v>
      </c>
      <c r="T75" s="104" t="s">
        <v>39</v>
      </c>
      <c r="U75" s="101" t="s">
        <v>291</v>
      </c>
      <c r="V75" s="103" t="s">
        <v>39</v>
      </c>
    </row>
    <row r="76" spans="2:22" ht="18.75" customHeight="1" x14ac:dyDescent="0.3">
      <c r="B76" s="21" t="s">
        <v>292</v>
      </c>
      <c r="C76" s="101" t="s">
        <v>161</v>
      </c>
      <c r="D76" s="101" t="s">
        <v>39</v>
      </c>
      <c r="E76" s="101" t="s">
        <v>39</v>
      </c>
      <c r="F76" s="102">
        <v>44818</v>
      </c>
      <c r="G76" s="102" t="s">
        <v>39</v>
      </c>
      <c r="H76" s="30">
        <v>44802</v>
      </c>
      <c r="I76" s="28" t="s">
        <v>293</v>
      </c>
      <c r="J76" s="22" t="s">
        <v>34</v>
      </c>
      <c r="K76" s="22" t="s">
        <v>35</v>
      </c>
      <c r="L76" s="101" t="s">
        <v>35</v>
      </c>
      <c r="M76" s="101" t="s">
        <v>39</v>
      </c>
      <c r="N76" s="97">
        <v>23000</v>
      </c>
      <c r="O76" s="97" t="s">
        <v>39</v>
      </c>
      <c r="P76" s="97" t="s">
        <v>39</v>
      </c>
      <c r="Q76" s="23">
        <v>0</v>
      </c>
      <c r="R76" s="22" t="s">
        <v>294</v>
      </c>
      <c r="S76" s="104" t="s">
        <v>295</v>
      </c>
      <c r="T76" s="104" t="s">
        <v>39</v>
      </c>
      <c r="U76" s="101" t="s">
        <v>296</v>
      </c>
      <c r="V76" s="103" t="s">
        <v>39</v>
      </c>
    </row>
    <row r="77" spans="2:22" ht="18.75" customHeight="1" x14ac:dyDescent="0.3">
      <c r="B77" s="21" t="s">
        <v>297</v>
      </c>
      <c r="C77" s="101" t="s">
        <v>161</v>
      </c>
      <c r="D77" s="101" t="s">
        <v>39</v>
      </c>
      <c r="E77" s="101" t="s">
        <v>39</v>
      </c>
      <c r="F77" s="102">
        <v>44818</v>
      </c>
      <c r="G77" s="102" t="s">
        <v>39</v>
      </c>
      <c r="H77" s="30">
        <v>44802</v>
      </c>
      <c r="I77" s="28" t="s">
        <v>298</v>
      </c>
      <c r="J77" s="22" t="s">
        <v>34</v>
      </c>
      <c r="K77" s="22" t="s">
        <v>35</v>
      </c>
      <c r="L77" s="101" t="s">
        <v>35</v>
      </c>
      <c r="M77" s="101" t="s">
        <v>39</v>
      </c>
      <c r="N77" s="97">
        <v>20000</v>
      </c>
      <c r="O77" s="97" t="s">
        <v>39</v>
      </c>
      <c r="P77" s="97" t="s">
        <v>39</v>
      </c>
      <c r="Q77" s="23">
        <v>0</v>
      </c>
      <c r="R77" s="22" t="s">
        <v>299</v>
      </c>
      <c r="S77" s="104" t="s">
        <v>142</v>
      </c>
      <c r="T77" s="104" t="s">
        <v>39</v>
      </c>
      <c r="U77" s="101" t="s">
        <v>143</v>
      </c>
      <c r="V77" s="103" t="s">
        <v>39</v>
      </c>
    </row>
    <row r="78" spans="2:22" ht="18.75" customHeight="1" x14ac:dyDescent="0.3">
      <c r="B78" s="21" t="s">
        <v>300</v>
      </c>
      <c r="C78" s="101" t="s">
        <v>161</v>
      </c>
      <c r="D78" s="101" t="s">
        <v>39</v>
      </c>
      <c r="E78" s="101" t="s">
        <v>39</v>
      </c>
      <c r="F78" s="102">
        <v>44818</v>
      </c>
      <c r="G78" s="102" t="s">
        <v>39</v>
      </c>
      <c r="H78" s="30">
        <v>44802</v>
      </c>
      <c r="I78" s="28" t="s">
        <v>301</v>
      </c>
      <c r="J78" s="22" t="s">
        <v>34</v>
      </c>
      <c r="K78" s="22" t="s">
        <v>35</v>
      </c>
      <c r="L78" s="101" t="s">
        <v>35</v>
      </c>
      <c r="M78" s="101" t="s">
        <v>39</v>
      </c>
      <c r="N78" s="97">
        <v>35000</v>
      </c>
      <c r="O78" s="97" t="s">
        <v>39</v>
      </c>
      <c r="P78" s="97" t="s">
        <v>39</v>
      </c>
      <c r="Q78" s="23">
        <v>0</v>
      </c>
      <c r="R78" s="22" t="s">
        <v>302</v>
      </c>
      <c r="S78" s="104" t="s">
        <v>303</v>
      </c>
      <c r="T78" s="104" t="s">
        <v>39</v>
      </c>
      <c r="U78" s="101" t="s">
        <v>304</v>
      </c>
      <c r="V78" s="103" t="s">
        <v>39</v>
      </c>
    </row>
    <row r="79" spans="2:22" ht="18.75" customHeight="1" x14ac:dyDescent="0.3">
      <c r="B79" s="21" t="s">
        <v>305</v>
      </c>
      <c r="C79" s="101" t="s">
        <v>161</v>
      </c>
      <c r="D79" s="101" t="s">
        <v>39</v>
      </c>
      <c r="E79" s="101" t="s">
        <v>39</v>
      </c>
      <c r="F79" s="102">
        <v>44818</v>
      </c>
      <c r="G79" s="102" t="s">
        <v>39</v>
      </c>
      <c r="H79" s="30">
        <v>44802</v>
      </c>
      <c r="I79" s="28" t="s">
        <v>306</v>
      </c>
      <c r="J79" s="22" t="s">
        <v>34</v>
      </c>
      <c r="K79" s="22" t="s">
        <v>35</v>
      </c>
      <c r="L79" s="101" t="s">
        <v>35</v>
      </c>
      <c r="M79" s="101" t="s">
        <v>39</v>
      </c>
      <c r="N79" s="97">
        <v>15200</v>
      </c>
      <c r="O79" s="97" t="s">
        <v>39</v>
      </c>
      <c r="P79" s="97" t="s">
        <v>39</v>
      </c>
      <c r="Q79" s="23">
        <v>0</v>
      </c>
      <c r="R79" s="22" t="s">
        <v>307</v>
      </c>
      <c r="S79" s="104" t="s">
        <v>308</v>
      </c>
      <c r="T79" s="104" t="s">
        <v>39</v>
      </c>
      <c r="U79" s="101" t="s">
        <v>309</v>
      </c>
      <c r="V79" s="103" t="s">
        <v>39</v>
      </c>
    </row>
    <row r="80" spans="2:22" ht="18.75" customHeight="1" x14ac:dyDescent="0.3">
      <c r="B80" s="21" t="s">
        <v>310</v>
      </c>
      <c r="C80" s="101" t="s">
        <v>161</v>
      </c>
      <c r="D80" s="101" t="s">
        <v>39</v>
      </c>
      <c r="E80" s="101" t="s">
        <v>39</v>
      </c>
      <c r="F80" s="102">
        <v>44818</v>
      </c>
      <c r="G80" s="102" t="s">
        <v>39</v>
      </c>
      <c r="H80" s="30">
        <v>44801</v>
      </c>
      <c r="I80" s="28" t="s">
        <v>311</v>
      </c>
      <c r="J80" s="22" t="s">
        <v>34</v>
      </c>
      <c r="K80" s="22" t="s">
        <v>35</v>
      </c>
      <c r="L80" s="101" t="s">
        <v>35</v>
      </c>
      <c r="M80" s="101" t="s">
        <v>39</v>
      </c>
      <c r="N80" s="97">
        <v>23600</v>
      </c>
      <c r="O80" s="97" t="s">
        <v>39</v>
      </c>
      <c r="P80" s="97" t="s">
        <v>39</v>
      </c>
      <c r="Q80" s="23">
        <v>0</v>
      </c>
      <c r="R80" s="22" t="s">
        <v>312</v>
      </c>
      <c r="S80" s="104" t="s">
        <v>240</v>
      </c>
      <c r="T80" s="104" t="s">
        <v>39</v>
      </c>
      <c r="U80" s="101" t="s">
        <v>241</v>
      </c>
      <c r="V80" s="103" t="s">
        <v>39</v>
      </c>
    </row>
    <row r="81" spans="2:22" ht="18.75" customHeight="1" x14ac:dyDescent="0.3">
      <c r="B81" s="21" t="s">
        <v>313</v>
      </c>
      <c r="C81" s="101" t="s">
        <v>161</v>
      </c>
      <c r="D81" s="101" t="s">
        <v>39</v>
      </c>
      <c r="E81" s="101" t="s">
        <v>39</v>
      </c>
      <c r="F81" s="102">
        <v>44818</v>
      </c>
      <c r="G81" s="102" t="s">
        <v>39</v>
      </c>
      <c r="H81" s="30">
        <v>44800</v>
      </c>
      <c r="I81" s="28" t="s">
        <v>314</v>
      </c>
      <c r="J81" s="22" t="s">
        <v>34</v>
      </c>
      <c r="K81" s="22" t="s">
        <v>35</v>
      </c>
      <c r="L81" s="101" t="s">
        <v>35</v>
      </c>
      <c r="M81" s="101" t="s">
        <v>39</v>
      </c>
      <c r="N81" s="97">
        <v>249800</v>
      </c>
      <c r="O81" s="97" t="s">
        <v>39</v>
      </c>
      <c r="P81" s="97" t="s">
        <v>39</v>
      </c>
      <c r="Q81" s="23">
        <v>0</v>
      </c>
      <c r="R81" s="22" t="s">
        <v>315</v>
      </c>
      <c r="S81" s="104" t="s">
        <v>214</v>
      </c>
      <c r="T81" s="104" t="s">
        <v>39</v>
      </c>
      <c r="U81" s="101" t="s">
        <v>215</v>
      </c>
      <c r="V81" s="103" t="s">
        <v>39</v>
      </c>
    </row>
    <row r="82" spans="2:22" ht="18.75" customHeight="1" x14ac:dyDescent="0.3">
      <c r="B82" s="21" t="s">
        <v>316</v>
      </c>
      <c r="C82" s="101" t="s">
        <v>161</v>
      </c>
      <c r="D82" s="101" t="s">
        <v>39</v>
      </c>
      <c r="E82" s="101" t="s">
        <v>39</v>
      </c>
      <c r="F82" s="102">
        <v>44818</v>
      </c>
      <c r="G82" s="102" t="s">
        <v>39</v>
      </c>
      <c r="H82" s="30">
        <v>44800</v>
      </c>
      <c r="I82" s="28" t="s">
        <v>317</v>
      </c>
      <c r="J82" s="22" t="s">
        <v>34</v>
      </c>
      <c r="K82" s="22" t="s">
        <v>35</v>
      </c>
      <c r="L82" s="101" t="s">
        <v>35</v>
      </c>
      <c r="M82" s="101" t="s">
        <v>39</v>
      </c>
      <c r="N82" s="97">
        <v>121020</v>
      </c>
      <c r="O82" s="97" t="s">
        <v>39</v>
      </c>
      <c r="P82" s="97" t="s">
        <v>39</v>
      </c>
      <c r="Q82" s="23">
        <v>0</v>
      </c>
      <c r="R82" s="22" t="s">
        <v>318</v>
      </c>
      <c r="S82" s="104" t="s">
        <v>114</v>
      </c>
      <c r="T82" s="104" t="s">
        <v>39</v>
      </c>
      <c r="U82" s="101" t="s">
        <v>115</v>
      </c>
      <c r="V82" s="103" t="s">
        <v>39</v>
      </c>
    </row>
    <row r="83" spans="2:22" ht="18.75" customHeight="1" x14ac:dyDescent="0.3">
      <c r="B83" s="21" t="s">
        <v>319</v>
      </c>
      <c r="C83" s="101" t="s">
        <v>161</v>
      </c>
      <c r="D83" s="101" t="s">
        <v>39</v>
      </c>
      <c r="E83" s="101" t="s">
        <v>39</v>
      </c>
      <c r="F83" s="102">
        <v>44818</v>
      </c>
      <c r="G83" s="102" t="s">
        <v>39</v>
      </c>
      <c r="H83" s="30">
        <v>44797</v>
      </c>
      <c r="I83" s="28" t="s">
        <v>320</v>
      </c>
      <c r="J83" s="22" t="s">
        <v>34</v>
      </c>
      <c r="K83" s="22" t="s">
        <v>35</v>
      </c>
      <c r="L83" s="101" t="s">
        <v>35</v>
      </c>
      <c r="M83" s="101" t="s">
        <v>39</v>
      </c>
      <c r="N83" s="97">
        <v>8000</v>
      </c>
      <c r="O83" s="97" t="s">
        <v>39</v>
      </c>
      <c r="P83" s="97" t="s">
        <v>39</v>
      </c>
      <c r="Q83" s="23">
        <v>0</v>
      </c>
      <c r="R83" s="22" t="s">
        <v>321</v>
      </c>
      <c r="S83" s="104" t="s">
        <v>322</v>
      </c>
      <c r="T83" s="104" t="s">
        <v>39</v>
      </c>
      <c r="U83" s="101" t="s">
        <v>323</v>
      </c>
      <c r="V83" s="103" t="s">
        <v>39</v>
      </c>
    </row>
    <row r="84" spans="2:22" ht="18.75" customHeight="1" x14ac:dyDescent="0.3">
      <c r="B84" s="21" t="s">
        <v>324</v>
      </c>
      <c r="C84" s="101" t="s">
        <v>161</v>
      </c>
      <c r="D84" s="101" t="s">
        <v>39</v>
      </c>
      <c r="E84" s="101" t="s">
        <v>39</v>
      </c>
      <c r="F84" s="102">
        <v>44818</v>
      </c>
      <c r="G84" s="102" t="s">
        <v>39</v>
      </c>
      <c r="H84" s="30">
        <v>44797</v>
      </c>
      <c r="I84" s="28" t="s">
        <v>325</v>
      </c>
      <c r="J84" s="22" t="s">
        <v>34</v>
      </c>
      <c r="K84" s="22" t="s">
        <v>35</v>
      </c>
      <c r="L84" s="101" t="s">
        <v>35</v>
      </c>
      <c r="M84" s="101" t="s">
        <v>39</v>
      </c>
      <c r="N84" s="97">
        <v>21320</v>
      </c>
      <c r="O84" s="97" t="s">
        <v>39</v>
      </c>
      <c r="P84" s="97" t="s">
        <v>39</v>
      </c>
      <c r="Q84" s="23">
        <v>0</v>
      </c>
      <c r="R84" s="22" t="s">
        <v>326</v>
      </c>
      <c r="S84" s="104" t="s">
        <v>240</v>
      </c>
      <c r="T84" s="104" t="s">
        <v>39</v>
      </c>
      <c r="U84" s="101" t="s">
        <v>241</v>
      </c>
      <c r="V84" s="103" t="s">
        <v>39</v>
      </c>
    </row>
    <row r="85" spans="2:22" ht="18.75" customHeight="1" x14ac:dyDescent="0.3">
      <c r="B85" s="21" t="s">
        <v>327</v>
      </c>
      <c r="C85" s="101" t="s">
        <v>161</v>
      </c>
      <c r="D85" s="101" t="s">
        <v>39</v>
      </c>
      <c r="E85" s="101" t="s">
        <v>39</v>
      </c>
      <c r="F85" s="102">
        <v>44818</v>
      </c>
      <c r="G85" s="102" t="s">
        <v>39</v>
      </c>
      <c r="H85" s="30">
        <v>44795</v>
      </c>
      <c r="I85" s="28" t="s">
        <v>328</v>
      </c>
      <c r="J85" s="22" t="s">
        <v>34</v>
      </c>
      <c r="K85" s="22" t="s">
        <v>35</v>
      </c>
      <c r="L85" s="101" t="s">
        <v>35</v>
      </c>
      <c r="M85" s="101" t="s">
        <v>39</v>
      </c>
      <c r="N85" s="97">
        <v>20000</v>
      </c>
      <c r="O85" s="97" t="s">
        <v>39</v>
      </c>
      <c r="P85" s="97" t="s">
        <v>39</v>
      </c>
      <c r="Q85" s="23">
        <v>0</v>
      </c>
      <c r="R85" s="22" t="s">
        <v>329</v>
      </c>
      <c r="S85" s="104" t="s">
        <v>142</v>
      </c>
      <c r="T85" s="104" t="s">
        <v>39</v>
      </c>
      <c r="U85" s="101" t="s">
        <v>143</v>
      </c>
      <c r="V85" s="103" t="s">
        <v>39</v>
      </c>
    </row>
    <row r="86" spans="2:22" ht="18.75" customHeight="1" x14ac:dyDescent="0.3">
      <c r="B86" s="21" t="s">
        <v>330</v>
      </c>
      <c r="C86" s="101" t="s">
        <v>161</v>
      </c>
      <c r="D86" s="101" t="s">
        <v>39</v>
      </c>
      <c r="E86" s="101" t="s">
        <v>39</v>
      </c>
      <c r="F86" s="102">
        <v>44818</v>
      </c>
      <c r="G86" s="102" t="s">
        <v>39</v>
      </c>
      <c r="H86" s="30">
        <v>44795</v>
      </c>
      <c r="I86" s="28" t="s">
        <v>331</v>
      </c>
      <c r="J86" s="22" t="s">
        <v>34</v>
      </c>
      <c r="K86" s="22" t="s">
        <v>35</v>
      </c>
      <c r="L86" s="101" t="s">
        <v>35</v>
      </c>
      <c r="M86" s="101" t="s">
        <v>39</v>
      </c>
      <c r="N86" s="97">
        <v>119800</v>
      </c>
      <c r="O86" s="97" t="s">
        <v>39</v>
      </c>
      <c r="P86" s="97" t="s">
        <v>39</v>
      </c>
      <c r="Q86" s="23">
        <v>0</v>
      </c>
      <c r="R86" s="22" t="s">
        <v>332</v>
      </c>
      <c r="S86" s="104" t="s">
        <v>333</v>
      </c>
      <c r="T86" s="104" t="s">
        <v>39</v>
      </c>
      <c r="U86" s="101" t="s">
        <v>334</v>
      </c>
      <c r="V86" s="103" t="s">
        <v>39</v>
      </c>
    </row>
    <row r="87" spans="2:22" ht="18.75" customHeight="1" x14ac:dyDescent="0.3">
      <c r="B87" s="21" t="s">
        <v>335</v>
      </c>
      <c r="C87" s="101" t="s">
        <v>161</v>
      </c>
      <c r="D87" s="101" t="s">
        <v>39</v>
      </c>
      <c r="E87" s="101" t="s">
        <v>39</v>
      </c>
      <c r="F87" s="102">
        <v>44818</v>
      </c>
      <c r="G87" s="102" t="s">
        <v>39</v>
      </c>
      <c r="H87" s="30">
        <v>44793</v>
      </c>
      <c r="I87" s="28" t="s">
        <v>336</v>
      </c>
      <c r="J87" s="22" t="s">
        <v>34</v>
      </c>
      <c r="K87" s="22" t="s">
        <v>35</v>
      </c>
      <c r="L87" s="101" t="s">
        <v>35</v>
      </c>
      <c r="M87" s="101" t="s">
        <v>39</v>
      </c>
      <c r="N87" s="97">
        <v>120820</v>
      </c>
      <c r="O87" s="97" t="s">
        <v>39</v>
      </c>
      <c r="P87" s="97" t="s">
        <v>39</v>
      </c>
      <c r="Q87" s="23">
        <v>0</v>
      </c>
      <c r="R87" s="22" t="s">
        <v>337</v>
      </c>
      <c r="S87" s="104" t="s">
        <v>114</v>
      </c>
      <c r="T87" s="104" t="s">
        <v>39</v>
      </c>
      <c r="U87" s="101" t="s">
        <v>115</v>
      </c>
      <c r="V87" s="103" t="s">
        <v>39</v>
      </c>
    </row>
    <row r="88" spans="2:22" ht="18.75" customHeight="1" x14ac:dyDescent="0.3">
      <c r="B88" s="21" t="s">
        <v>338</v>
      </c>
      <c r="C88" s="101" t="s">
        <v>161</v>
      </c>
      <c r="D88" s="101" t="s">
        <v>39</v>
      </c>
      <c r="E88" s="101" t="s">
        <v>39</v>
      </c>
      <c r="F88" s="102">
        <v>44818</v>
      </c>
      <c r="G88" s="102" t="s">
        <v>39</v>
      </c>
      <c r="H88" s="30">
        <v>44792</v>
      </c>
      <c r="I88" s="28" t="s">
        <v>339</v>
      </c>
      <c r="J88" s="22" t="s">
        <v>34</v>
      </c>
      <c r="K88" s="22" t="s">
        <v>35</v>
      </c>
      <c r="L88" s="101" t="s">
        <v>35</v>
      </c>
      <c r="M88" s="101" t="s">
        <v>39</v>
      </c>
      <c r="N88" s="97">
        <v>181800</v>
      </c>
      <c r="O88" s="97" t="s">
        <v>39</v>
      </c>
      <c r="P88" s="97" t="s">
        <v>39</v>
      </c>
      <c r="Q88" s="23">
        <v>0</v>
      </c>
      <c r="R88" s="22" t="s">
        <v>340</v>
      </c>
      <c r="S88" s="104" t="s">
        <v>214</v>
      </c>
      <c r="T88" s="104" t="s">
        <v>39</v>
      </c>
      <c r="U88" s="101" t="s">
        <v>215</v>
      </c>
      <c r="V88" s="103" t="s">
        <v>39</v>
      </c>
    </row>
    <row r="89" spans="2:22" ht="18.75" customHeight="1" x14ac:dyDescent="0.3">
      <c r="B89" s="21" t="s">
        <v>341</v>
      </c>
      <c r="C89" s="101" t="s">
        <v>161</v>
      </c>
      <c r="D89" s="101" t="s">
        <v>39</v>
      </c>
      <c r="E89" s="101" t="s">
        <v>39</v>
      </c>
      <c r="F89" s="102">
        <v>44818</v>
      </c>
      <c r="G89" s="102" t="s">
        <v>39</v>
      </c>
      <c r="H89" s="30">
        <v>44789</v>
      </c>
      <c r="I89" s="28" t="s">
        <v>39</v>
      </c>
      <c r="J89" s="22" t="s">
        <v>34</v>
      </c>
      <c r="K89" s="22" t="s">
        <v>35</v>
      </c>
      <c r="L89" s="101" t="s">
        <v>35</v>
      </c>
      <c r="M89" s="101" t="s">
        <v>39</v>
      </c>
      <c r="N89" s="97">
        <v>300</v>
      </c>
      <c r="O89" s="97" t="s">
        <v>39</v>
      </c>
      <c r="P89" s="97" t="s">
        <v>39</v>
      </c>
      <c r="Q89" s="23">
        <v>0</v>
      </c>
      <c r="R89" s="22" t="s">
        <v>191</v>
      </c>
      <c r="S89" s="104" t="s">
        <v>342</v>
      </c>
      <c r="T89" s="104" t="s">
        <v>39</v>
      </c>
      <c r="U89" s="101" t="s">
        <v>193</v>
      </c>
      <c r="V89" s="103" t="s">
        <v>39</v>
      </c>
    </row>
    <row r="90" spans="2:22" ht="18.75" customHeight="1" x14ac:dyDescent="0.3">
      <c r="B90" s="21" t="s">
        <v>343</v>
      </c>
      <c r="C90" s="101" t="s">
        <v>161</v>
      </c>
      <c r="D90" s="101" t="s">
        <v>39</v>
      </c>
      <c r="E90" s="101" t="s">
        <v>39</v>
      </c>
      <c r="F90" s="102">
        <v>44818</v>
      </c>
      <c r="G90" s="102" t="s">
        <v>39</v>
      </c>
      <c r="H90" s="30">
        <v>44786</v>
      </c>
      <c r="I90" s="28" t="s">
        <v>344</v>
      </c>
      <c r="J90" s="22" t="s">
        <v>34</v>
      </c>
      <c r="K90" s="22" t="s">
        <v>35</v>
      </c>
      <c r="L90" s="101" t="s">
        <v>35</v>
      </c>
      <c r="M90" s="101" t="s">
        <v>39</v>
      </c>
      <c r="N90" s="97">
        <v>94470</v>
      </c>
      <c r="O90" s="97" t="s">
        <v>39</v>
      </c>
      <c r="P90" s="97" t="s">
        <v>39</v>
      </c>
      <c r="Q90" s="23">
        <v>0</v>
      </c>
      <c r="R90" s="22" t="s">
        <v>345</v>
      </c>
      <c r="S90" s="104" t="s">
        <v>114</v>
      </c>
      <c r="T90" s="104" t="s">
        <v>39</v>
      </c>
      <c r="U90" s="101" t="s">
        <v>115</v>
      </c>
      <c r="V90" s="103" t="s">
        <v>39</v>
      </c>
    </row>
    <row r="91" spans="2:22" ht="18.75" customHeight="1" x14ac:dyDescent="0.3">
      <c r="B91" s="21" t="s">
        <v>346</v>
      </c>
      <c r="C91" s="101" t="s">
        <v>161</v>
      </c>
      <c r="D91" s="101" t="s">
        <v>39</v>
      </c>
      <c r="E91" s="101" t="s">
        <v>39</v>
      </c>
      <c r="F91" s="102">
        <v>44818</v>
      </c>
      <c r="G91" s="102" t="s">
        <v>39</v>
      </c>
      <c r="H91" s="30">
        <v>44786</v>
      </c>
      <c r="I91" s="28" t="s">
        <v>347</v>
      </c>
      <c r="J91" s="22" t="s">
        <v>34</v>
      </c>
      <c r="K91" s="22" t="s">
        <v>35</v>
      </c>
      <c r="L91" s="101" t="s">
        <v>35</v>
      </c>
      <c r="M91" s="101" t="s">
        <v>39</v>
      </c>
      <c r="N91" s="97">
        <v>71800</v>
      </c>
      <c r="O91" s="97" t="s">
        <v>39</v>
      </c>
      <c r="P91" s="97" t="s">
        <v>39</v>
      </c>
      <c r="Q91" s="23">
        <v>0</v>
      </c>
      <c r="R91" s="22" t="s">
        <v>348</v>
      </c>
      <c r="S91" s="104" t="s">
        <v>114</v>
      </c>
      <c r="T91" s="104" t="s">
        <v>39</v>
      </c>
      <c r="U91" s="101" t="s">
        <v>115</v>
      </c>
      <c r="V91" s="103" t="s">
        <v>39</v>
      </c>
    </row>
    <row r="92" spans="2:22" ht="18.75" customHeight="1" x14ac:dyDescent="0.3">
      <c r="B92" s="21" t="s">
        <v>349</v>
      </c>
      <c r="C92" s="101" t="s">
        <v>161</v>
      </c>
      <c r="D92" s="101" t="s">
        <v>39</v>
      </c>
      <c r="E92" s="101" t="s">
        <v>39</v>
      </c>
      <c r="F92" s="102">
        <v>44818</v>
      </c>
      <c r="G92" s="102" t="s">
        <v>39</v>
      </c>
      <c r="H92" s="30">
        <v>44786</v>
      </c>
      <c r="I92" s="28" t="s">
        <v>350</v>
      </c>
      <c r="J92" s="22" t="s">
        <v>34</v>
      </c>
      <c r="K92" s="22" t="s">
        <v>35</v>
      </c>
      <c r="L92" s="101" t="s">
        <v>35</v>
      </c>
      <c r="M92" s="101" t="s">
        <v>39</v>
      </c>
      <c r="N92" s="97">
        <v>70000</v>
      </c>
      <c r="O92" s="97" t="s">
        <v>39</v>
      </c>
      <c r="P92" s="97" t="s">
        <v>39</v>
      </c>
      <c r="Q92" s="23">
        <v>0</v>
      </c>
      <c r="R92" s="22" t="s">
        <v>351</v>
      </c>
      <c r="S92" s="104" t="s">
        <v>352</v>
      </c>
      <c r="T92" s="104" t="s">
        <v>39</v>
      </c>
      <c r="U92" s="101" t="s">
        <v>353</v>
      </c>
      <c r="V92" s="103" t="s">
        <v>39</v>
      </c>
    </row>
    <row r="93" spans="2:22" ht="18.75" customHeight="1" x14ac:dyDescent="0.3">
      <c r="B93" s="21" t="s">
        <v>354</v>
      </c>
      <c r="C93" s="101" t="s">
        <v>161</v>
      </c>
      <c r="D93" s="101" t="s">
        <v>39</v>
      </c>
      <c r="E93" s="101" t="s">
        <v>39</v>
      </c>
      <c r="F93" s="102">
        <v>44818</v>
      </c>
      <c r="G93" s="102" t="s">
        <v>39</v>
      </c>
      <c r="H93" s="30">
        <v>44786</v>
      </c>
      <c r="I93" s="28" t="s">
        <v>355</v>
      </c>
      <c r="J93" s="22" t="s">
        <v>34</v>
      </c>
      <c r="K93" s="22" t="s">
        <v>35</v>
      </c>
      <c r="L93" s="101" t="s">
        <v>35</v>
      </c>
      <c r="M93" s="101" t="s">
        <v>39</v>
      </c>
      <c r="N93" s="97">
        <v>124000</v>
      </c>
      <c r="O93" s="97" t="s">
        <v>39</v>
      </c>
      <c r="P93" s="97" t="s">
        <v>39</v>
      </c>
      <c r="Q93" s="23">
        <v>0</v>
      </c>
      <c r="R93" s="22" t="s">
        <v>356</v>
      </c>
      <c r="S93" s="104" t="s">
        <v>214</v>
      </c>
      <c r="T93" s="104" t="s">
        <v>39</v>
      </c>
      <c r="U93" s="101" t="s">
        <v>215</v>
      </c>
      <c r="V93" s="103" t="s">
        <v>39</v>
      </c>
    </row>
    <row r="94" spans="2:22" ht="18.75" customHeight="1" x14ac:dyDescent="0.3">
      <c r="B94" s="21" t="s">
        <v>357</v>
      </c>
      <c r="C94" s="101" t="s">
        <v>161</v>
      </c>
      <c r="D94" s="101" t="s">
        <v>39</v>
      </c>
      <c r="E94" s="101" t="s">
        <v>39</v>
      </c>
      <c r="F94" s="102">
        <v>44818</v>
      </c>
      <c r="G94" s="102" t="s">
        <v>39</v>
      </c>
      <c r="H94" s="30">
        <v>44784</v>
      </c>
      <c r="I94" s="28" t="s">
        <v>358</v>
      </c>
      <c r="J94" s="22" t="s">
        <v>34</v>
      </c>
      <c r="K94" s="22" t="s">
        <v>35</v>
      </c>
      <c r="L94" s="101" t="s">
        <v>35</v>
      </c>
      <c r="M94" s="101" t="s">
        <v>39</v>
      </c>
      <c r="N94" s="97">
        <v>3300</v>
      </c>
      <c r="O94" s="97" t="s">
        <v>39</v>
      </c>
      <c r="P94" s="97" t="s">
        <v>39</v>
      </c>
      <c r="Q94" s="23">
        <v>0</v>
      </c>
      <c r="R94" s="22" t="s">
        <v>359</v>
      </c>
      <c r="S94" s="104" t="s">
        <v>360</v>
      </c>
      <c r="T94" s="104" t="s">
        <v>39</v>
      </c>
      <c r="U94" s="101" t="s">
        <v>361</v>
      </c>
      <c r="V94" s="103" t="s">
        <v>39</v>
      </c>
    </row>
    <row r="95" spans="2:22" ht="18.75" customHeight="1" x14ac:dyDescent="0.3">
      <c r="B95" s="21" t="s">
        <v>362</v>
      </c>
      <c r="C95" s="101" t="s">
        <v>161</v>
      </c>
      <c r="D95" s="101" t="s">
        <v>39</v>
      </c>
      <c r="E95" s="101" t="s">
        <v>39</v>
      </c>
      <c r="F95" s="102">
        <v>44818</v>
      </c>
      <c r="G95" s="102" t="s">
        <v>39</v>
      </c>
      <c r="H95" s="30">
        <v>44784</v>
      </c>
      <c r="I95" s="28" t="s">
        <v>363</v>
      </c>
      <c r="J95" s="22" t="s">
        <v>34</v>
      </c>
      <c r="K95" s="22" t="s">
        <v>35</v>
      </c>
      <c r="L95" s="101" t="s">
        <v>35</v>
      </c>
      <c r="M95" s="101" t="s">
        <v>39</v>
      </c>
      <c r="N95" s="97">
        <v>4500</v>
      </c>
      <c r="O95" s="97" t="s">
        <v>39</v>
      </c>
      <c r="P95" s="97" t="s">
        <v>39</v>
      </c>
      <c r="Q95" s="23">
        <v>0</v>
      </c>
      <c r="R95" s="22" t="s">
        <v>364</v>
      </c>
      <c r="S95" s="104" t="s">
        <v>360</v>
      </c>
      <c r="T95" s="104" t="s">
        <v>39</v>
      </c>
      <c r="U95" s="101" t="s">
        <v>361</v>
      </c>
      <c r="V95" s="103" t="s">
        <v>39</v>
      </c>
    </row>
    <row r="96" spans="2:22" ht="18.75" customHeight="1" x14ac:dyDescent="0.3">
      <c r="B96" s="21" t="s">
        <v>365</v>
      </c>
      <c r="C96" s="101" t="s">
        <v>161</v>
      </c>
      <c r="D96" s="101" t="s">
        <v>39</v>
      </c>
      <c r="E96" s="101" t="s">
        <v>39</v>
      </c>
      <c r="F96" s="102">
        <v>44818</v>
      </c>
      <c r="G96" s="102" t="s">
        <v>39</v>
      </c>
      <c r="H96" s="30">
        <v>44784</v>
      </c>
      <c r="I96" s="28" t="s">
        <v>366</v>
      </c>
      <c r="J96" s="22" t="s">
        <v>34</v>
      </c>
      <c r="K96" s="22" t="s">
        <v>35</v>
      </c>
      <c r="L96" s="101" t="s">
        <v>35</v>
      </c>
      <c r="M96" s="101" t="s">
        <v>39</v>
      </c>
      <c r="N96" s="97">
        <v>15300</v>
      </c>
      <c r="O96" s="97" t="s">
        <v>39</v>
      </c>
      <c r="P96" s="97" t="s">
        <v>39</v>
      </c>
      <c r="Q96" s="23">
        <v>0</v>
      </c>
      <c r="R96" s="22" t="s">
        <v>367</v>
      </c>
      <c r="S96" s="104" t="s">
        <v>80</v>
      </c>
      <c r="T96" s="104" t="s">
        <v>39</v>
      </c>
      <c r="U96" s="101" t="s">
        <v>81</v>
      </c>
      <c r="V96" s="103" t="s">
        <v>39</v>
      </c>
    </row>
    <row r="97" spans="2:22" ht="18.75" customHeight="1" x14ac:dyDescent="0.3">
      <c r="B97" s="21" t="s">
        <v>368</v>
      </c>
      <c r="C97" s="101" t="s">
        <v>161</v>
      </c>
      <c r="D97" s="101" t="s">
        <v>39</v>
      </c>
      <c r="E97" s="101" t="s">
        <v>39</v>
      </c>
      <c r="F97" s="102">
        <v>44818</v>
      </c>
      <c r="G97" s="102" t="s">
        <v>39</v>
      </c>
      <c r="H97" s="30">
        <v>44784</v>
      </c>
      <c r="I97" s="28" t="s">
        <v>369</v>
      </c>
      <c r="J97" s="22" t="s">
        <v>34</v>
      </c>
      <c r="K97" s="22" t="s">
        <v>35</v>
      </c>
      <c r="L97" s="101" t="s">
        <v>35</v>
      </c>
      <c r="M97" s="101" t="s">
        <v>39</v>
      </c>
      <c r="N97" s="97">
        <v>19000</v>
      </c>
      <c r="O97" s="97" t="s">
        <v>39</v>
      </c>
      <c r="P97" s="97" t="s">
        <v>39</v>
      </c>
      <c r="Q97" s="23">
        <v>0</v>
      </c>
      <c r="R97" s="22" t="s">
        <v>370</v>
      </c>
      <c r="S97" s="104" t="s">
        <v>80</v>
      </c>
      <c r="T97" s="104" t="s">
        <v>39</v>
      </c>
      <c r="U97" s="101" t="s">
        <v>81</v>
      </c>
      <c r="V97" s="103" t="s">
        <v>39</v>
      </c>
    </row>
    <row r="98" spans="2:22" ht="18.75" customHeight="1" x14ac:dyDescent="0.3">
      <c r="B98" s="21" t="s">
        <v>371</v>
      </c>
      <c r="C98" s="101" t="s">
        <v>161</v>
      </c>
      <c r="D98" s="101" t="s">
        <v>39</v>
      </c>
      <c r="E98" s="101" t="s">
        <v>39</v>
      </c>
      <c r="F98" s="102">
        <v>44818</v>
      </c>
      <c r="G98" s="102" t="s">
        <v>39</v>
      </c>
      <c r="H98" s="30">
        <v>44782</v>
      </c>
      <c r="I98" s="28" t="s">
        <v>372</v>
      </c>
      <c r="J98" s="22" t="s">
        <v>34</v>
      </c>
      <c r="K98" s="22" t="s">
        <v>35</v>
      </c>
      <c r="L98" s="101" t="s">
        <v>35</v>
      </c>
      <c r="M98" s="101" t="s">
        <v>39</v>
      </c>
      <c r="N98" s="97">
        <v>17200</v>
      </c>
      <c r="O98" s="97" t="s">
        <v>39</v>
      </c>
      <c r="P98" s="97" t="s">
        <v>39</v>
      </c>
      <c r="Q98" s="23">
        <v>0</v>
      </c>
      <c r="R98" s="22" t="s">
        <v>373</v>
      </c>
      <c r="S98" s="104" t="s">
        <v>199</v>
      </c>
      <c r="T98" s="104" t="s">
        <v>39</v>
      </c>
      <c r="U98" s="101" t="s">
        <v>200</v>
      </c>
      <c r="V98" s="103" t="s">
        <v>39</v>
      </c>
    </row>
    <row r="99" spans="2:22" ht="18.75" customHeight="1" x14ac:dyDescent="0.3">
      <c r="B99" s="21" t="s">
        <v>374</v>
      </c>
      <c r="C99" s="101" t="s">
        <v>161</v>
      </c>
      <c r="D99" s="101" t="s">
        <v>39</v>
      </c>
      <c r="E99" s="101" t="s">
        <v>39</v>
      </c>
      <c r="F99" s="102">
        <v>44818</v>
      </c>
      <c r="G99" s="102" t="s">
        <v>39</v>
      </c>
      <c r="H99" s="30">
        <v>44780</v>
      </c>
      <c r="I99" s="28" t="s">
        <v>375</v>
      </c>
      <c r="J99" s="22" t="s">
        <v>34</v>
      </c>
      <c r="K99" s="22" t="s">
        <v>35</v>
      </c>
      <c r="L99" s="101" t="s">
        <v>35</v>
      </c>
      <c r="M99" s="101" t="s">
        <v>39</v>
      </c>
      <c r="N99" s="97">
        <v>64400</v>
      </c>
      <c r="O99" s="97" t="s">
        <v>39</v>
      </c>
      <c r="P99" s="97" t="s">
        <v>39</v>
      </c>
      <c r="Q99" s="23">
        <v>0</v>
      </c>
      <c r="R99" s="22" t="s">
        <v>376</v>
      </c>
      <c r="S99" s="104" t="s">
        <v>114</v>
      </c>
      <c r="T99" s="104" t="s">
        <v>39</v>
      </c>
      <c r="U99" s="101" t="s">
        <v>115</v>
      </c>
      <c r="V99" s="103" t="s">
        <v>39</v>
      </c>
    </row>
    <row r="100" spans="2:22" ht="18.75" customHeight="1" x14ac:dyDescent="0.3">
      <c r="B100" s="21" t="s">
        <v>377</v>
      </c>
      <c r="C100" s="101" t="s">
        <v>161</v>
      </c>
      <c r="D100" s="101" t="s">
        <v>39</v>
      </c>
      <c r="E100" s="101" t="s">
        <v>39</v>
      </c>
      <c r="F100" s="102">
        <v>44818</v>
      </c>
      <c r="G100" s="102" t="s">
        <v>39</v>
      </c>
      <c r="H100" s="30">
        <v>44780</v>
      </c>
      <c r="I100" s="28" t="s">
        <v>378</v>
      </c>
      <c r="J100" s="22" t="s">
        <v>34</v>
      </c>
      <c r="K100" s="22" t="s">
        <v>35</v>
      </c>
      <c r="L100" s="101" t="s">
        <v>35</v>
      </c>
      <c r="M100" s="101" t="s">
        <v>39</v>
      </c>
      <c r="N100" s="97">
        <v>69410</v>
      </c>
      <c r="O100" s="97" t="s">
        <v>39</v>
      </c>
      <c r="P100" s="97" t="s">
        <v>39</v>
      </c>
      <c r="Q100" s="23">
        <v>0</v>
      </c>
      <c r="R100" s="22" t="s">
        <v>379</v>
      </c>
      <c r="S100" s="104" t="s">
        <v>114</v>
      </c>
      <c r="T100" s="104" t="s">
        <v>39</v>
      </c>
      <c r="U100" s="101" t="s">
        <v>115</v>
      </c>
      <c r="V100" s="103" t="s">
        <v>39</v>
      </c>
    </row>
    <row r="101" spans="2:22" ht="18.75" customHeight="1" x14ac:dyDescent="0.3">
      <c r="B101" s="21" t="s">
        <v>380</v>
      </c>
      <c r="C101" s="101" t="s">
        <v>161</v>
      </c>
      <c r="D101" s="101" t="s">
        <v>39</v>
      </c>
      <c r="E101" s="101" t="s">
        <v>39</v>
      </c>
      <c r="F101" s="102">
        <v>44818</v>
      </c>
      <c r="G101" s="102" t="s">
        <v>39</v>
      </c>
      <c r="H101" s="30">
        <v>44780</v>
      </c>
      <c r="I101" s="28" t="s">
        <v>381</v>
      </c>
      <c r="J101" s="22" t="s">
        <v>34</v>
      </c>
      <c r="K101" s="22" t="s">
        <v>35</v>
      </c>
      <c r="L101" s="101" t="s">
        <v>35</v>
      </c>
      <c r="M101" s="101" t="s">
        <v>39</v>
      </c>
      <c r="N101" s="97">
        <v>33760</v>
      </c>
      <c r="O101" s="97" t="s">
        <v>39</v>
      </c>
      <c r="P101" s="97" t="s">
        <v>39</v>
      </c>
      <c r="Q101" s="23">
        <v>0</v>
      </c>
      <c r="R101" s="22" t="s">
        <v>382</v>
      </c>
      <c r="S101" s="104" t="s">
        <v>199</v>
      </c>
      <c r="T101" s="104" t="s">
        <v>39</v>
      </c>
      <c r="U101" s="101" t="s">
        <v>200</v>
      </c>
      <c r="V101" s="103" t="s">
        <v>39</v>
      </c>
    </row>
    <row r="102" spans="2:22" ht="18.75" customHeight="1" x14ac:dyDescent="0.3">
      <c r="B102" s="21" t="s">
        <v>383</v>
      </c>
      <c r="C102" s="101" t="s">
        <v>161</v>
      </c>
      <c r="D102" s="101" t="s">
        <v>39</v>
      </c>
      <c r="E102" s="101" t="s">
        <v>39</v>
      </c>
      <c r="F102" s="102">
        <v>44818</v>
      </c>
      <c r="G102" s="102" t="s">
        <v>39</v>
      </c>
      <c r="H102" s="30">
        <v>44780</v>
      </c>
      <c r="I102" s="28" t="s">
        <v>384</v>
      </c>
      <c r="J102" s="22" t="s">
        <v>34</v>
      </c>
      <c r="K102" s="22" t="s">
        <v>35</v>
      </c>
      <c r="L102" s="101" t="s">
        <v>35</v>
      </c>
      <c r="M102" s="101" t="s">
        <v>39</v>
      </c>
      <c r="N102" s="97">
        <v>29000</v>
      </c>
      <c r="O102" s="97" t="s">
        <v>39</v>
      </c>
      <c r="P102" s="97" t="s">
        <v>39</v>
      </c>
      <c r="Q102" s="23">
        <v>0</v>
      </c>
      <c r="R102" s="22" t="s">
        <v>385</v>
      </c>
      <c r="S102" s="104" t="s">
        <v>199</v>
      </c>
      <c r="T102" s="104" t="s">
        <v>39</v>
      </c>
      <c r="U102" s="101" t="s">
        <v>200</v>
      </c>
      <c r="V102" s="103" t="s">
        <v>39</v>
      </c>
    </row>
    <row r="103" spans="2:22" ht="18.75" customHeight="1" x14ac:dyDescent="0.3">
      <c r="B103" s="21" t="s">
        <v>386</v>
      </c>
      <c r="C103" s="101" t="s">
        <v>161</v>
      </c>
      <c r="D103" s="101" t="s">
        <v>39</v>
      </c>
      <c r="E103" s="101" t="s">
        <v>39</v>
      </c>
      <c r="F103" s="102">
        <v>44818</v>
      </c>
      <c r="G103" s="102" t="s">
        <v>39</v>
      </c>
      <c r="H103" s="30">
        <v>44777</v>
      </c>
      <c r="I103" s="28" t="s">
        <v>387</v>
      </c>
      <c r="J103" s="22" t="s">
        <v>34</v>
      </c>
      <c r="K103" s="22" t="s">
        <v>35</v>
      </c>
      <c r="L103" s="101" t="s">
        <v>35</v>
      </c>
      <c r="M103" s="101" t="s">
        <v>39</v>
      </c>
      <c r="N103" s="97">
        <v>128760</v>
      </c>
      <c r="O103" s="97" t="s">
        <v>39</v>
      </c>
      <c r="P103" s="97" t="s">
        <v>39</v>
      </c>
      <c r="Q103" s="23">
        <v>0</v>
      </c>
      <c r="R103" s="22" t="s">
        <v>388</v>
      </c>
      <c r="S103" s="104" t="s">
        <v>114</v>
      </c>
      <c r="T103" s="104" t="s">
        <v>39</v>
      </c>
      <c r="U103" s="101" t="s">
        <v>115</v>
      </c>
      <c r="V103" s="103" t="s">
        <v>39</v>
      </c>
    </row>
    <row r="104" spans="2:22" ht="18.75" customHeight="1" x14ac:dyDescent="0.3">
      <c r="B104" s="21" t="s">
        <v>389</v>
      </c>
      <c r="C104" s="101" t="s">
        <v>161</v>
      </c>
      <c r="D104" s="101" t="s">
        <v>39</v>
      </c>
      <c r="E104" s="101" t="s">
        <v>39</v>
      </c>
      <c r="F104" s="102">
        <v>44818</v>
      </c>
      <c r="G104" s="102" t="s">
        <v>39</v>
      </c>
      <c r="H104" s="30">
        <v>44777</v>
      </c>
      <c r="I104" s="28" t="s">
        <v>390</v>
      </c>
      <c r="J104" s="22" t="s">
        <v>34</v>
      </c>
      <c r="K104" s="22" t="s">
        <v>35</v>
      </c>
      <c r="L104" s="101" t="s">
        <v>35</v>
      </c>
      <c r="M104" s="101" t="s">
        <v>39</v>
      </c>
      <c r="N104" s="97">
        <v>5500</v>
      </c>
      <c r="O104" s="97" t="s">
        <v>39</v>
      </c>
      <c r="P104" s="97" t="s">
        <v>39</v>
      </c>
      <c r="Q104" s="23">
        <v>0</v>
      </c>
      <c r="R104" s="22" t="s">
        <v>391</v>
      </c>
      <c r="S104" s="104" t="s">
        <v>114</v>
      </c>
      <c r="T104" s="104" t="s">
        <v>39</v>
      </c>
      <c r="U104" s="101" t="s">
        <v>115</v>
      </c>
      <c r="V104" s="103" t="s">
        <v>39</v>
      </c>
    </row>
    <row r="105" spans="2:22" ht="18.75" customHeight="1" x14ac:dyDescent="0.3">
      <c r="B105" s="21" t="s">
        <v>392</v>
      </c>
      <c r="C105" s="101" t="s">
        <v>161</v>
      </c>
      <c r="D105" s="101" t="s">
        <v>39</v>
      </c>
      <c r="E105" s="101" t="s">
        <v>39</v>
      </c>
      <c r="F105" s="102">
        <v>44789</v>
      </c>
      <c r="G105" s="102" t="s">
        <v>39</v>
      </c>
      <c r="H105" s="30">
        <v>44772</v>
      </c>
      <c r="I105" s="28" t="s">
        <v>393</v>
      </c>
      <c r="J105" s="22" t="s">
        <v>34</v>
      </c>
      <c r="K105" s="22" t="s">
        <v>35</v>
      </c>
      <c r="L105" s="101" t="s">
        <v>35</v>
      </c>
      <c r="M105" s="101" t="s">
        <v>39</v>
      </c>
      <c r="N105" s="97">
        <v>28000</v>
      </c>
      <c r="O105" s="97" t="s">
        <v>39</v>
      </c>
      <c r="P105" s="97" t="s">
        <v>39</v>
      </c>
      <c r="Q105" s="23">
        <v>0</v>
      </c>
      <c r="R105" s="22" t="s">
        <v>394</v>
      </c>
      <c r="S105" s="104" t="s">
        <v>395</v>
      </c>
      <c r="T105" s="104" t="s">
        <v>39</v>
      </c>
      <c r="U105" s="101" t="s">
        <v>396</v>
      </c>
      <c r="V105" s="103" t="s">
        <v>39</v>
      </c>
    </row>
    <row r="106" spans="2:22" ht="18.75" customHeight="1" x14ac:dyDescent="0.3">
      <c r="B106" s="21" t="s">
        <v>397</v>
      </c>
      <c r="C106" s="101" t="s">
        <v>161</v>
      </c>
      <c r="D106" s="101" t="s">
        <v>39</v>
      </c>
      <c r="E106" s="101" t="s">
        <v>39</v>
      </c>
      <c r="F106" s="102">
        <v>44789</v>
      </c>
      <c r="G106" s="102" t="s">
        <v>39</v>
      </c>
      <c r="H106" s="30">
        <v>44772</v>
      </c>
      <c r="I106" s="28" t="s">
        <v>398</v>
      </c>
      <c r="J106" s="22" t="s">
        <v>34</v>
      </c>
      <c r="K106" s="22" t="s">
        <v>35</v>
      </c>
      <c r="L106" s="101" t="s">
        <v>35</v>
      </c>
      <c r="M106" s="101" t="s">
        <v>39</v>
      </c>
      <c r="N106" s="97">
        <v>5000</v>
      </c>
      <c r="O106" s="97" t="s">
        <v>39</v>
      </c>
      <c r="P106" s="97" t="s">
        <v>39</v>
      </c>
      <c r="Q106" s="23">
        <v>0</v>
      </c>
      <c r="R106" s="22" t="s">
        <v>399</v>
      </c>
      <c r="S106" s="104" t="s">
        <v>400</v>
      </c>
      <c r="T106" s="104" t="s">
        <v>39</v>
      </c>
      <c r="U106" s="101" t="s">
        <v>401</v>
      </c>
      <c r="V106" s="103" t="s">
        <v>39</v>
      </c>
    </row>
    <row r="107" spans="2:22" ht="18.75" customHeight="1" x14ac:dyDescent="0.3">
      <c r="B107" s="21" t="s">
        <v>402</v>
      </c>
      <c r="C107" s="101" t="s">
        <v>161</v>
      </c>
      <c r="D107" s="101" t="s">
        <v>39</v>
      </c>
      <c r="E107" s="101" t="s">
        <v>39</v>
      </c>
      <c r="F107" s="102">
        <v>44789</v>
      </c>
      <c r="G107" s="102" t="s">
        <v>39</v>
      </c>
      <c r="H107" s="30">
        <v>44772</v>
      </c>
      <c r="I107" s="28" t="s">
        <v>403</v>
      </c>
      <c r="J107" s="22" t="s">
        <v>34</v>
      </c>
      <c r="K107" s="22" t="s">
        <v>35</v>
      </c>
      <c r="L107" s="101" t="s">
        <v>35</v>
      </c>
      <c r="M107" s="101" t="s">
        <v>39</v>
      </c>
      <c r="N107" s="97">
        <v>20000</v>
      </c>
      <c r="O107" s="97" t="s">
        <v>39</v>
      </c>
      <c r="P107" s="97" t="s">
        <v>39</v>
      </c>
      <c r="Q107" s="23">
        <v>0</v>
      </c>
      <c r="R107" s="22" t="s">
        <v>404</v>
      </c>
      <c r="S107" s="104" t="s">
        <v>400</v>
      </c>
      <c r="T107" s="104" t="s">
        <v>39</v>
      </c>
      <c r="U107" s="101" t="s">
        <v>401</v>
      </c>
      <c r="V107" s="103" t="s">
        <v>39</v>
      </c>
    </row>
    <row r="108" spans="2:22" ht="18.75" customHeight="1" x14ac:dyDescent="0.3">
      <c r="B108" s="21" t="s">
        <v>405</v>
      </c>
      <c r="C108" s="101" t="s">
        <v>161</v>
      </c>
      <c r="D108" s="101" t="s">
        <v>39</v>
      </c>
      <c r="E108" s="101" t="s">
        <v>39</v>
      </c>
      <c r="F108" s="102">
        <v>44789</v>
      </c>
      <c r="G108" s="102" t="s">
        <v>39</v>
      </c>
      <c r="H108" s="30">
        <v>44768</v>
      </c>
      <c r="I108" s="28" t="s">
        <v>406</v>
      </c>
      <c r="J108" s="22" t="s">
        <v>34</v>
      </c>
      <c r="K108" s="22" t="s">
        <v>35</v>
      </c>
      <c r="L108" s="101" t="s">
        <v>35</v>
      </c>
      <c r="M108" s="101" t="s">
        <v>39</v>
      </c>
      <c r="N108" s="97">
        <v>12500</v>
      </c>
      <c r="O108" s="97" t="s">
        <v>39</v>
      </c>
      <c r="P108" s="97" t="s">
        <v>39</v>
      </c>
      <c r="Q108" s="23">
        <v>0</v>
      </c>
      <c r="R108" s="22" t="s">
        <v>407</v>
      </c>
      <c r="S108" s="104" t="s">
        <v>408</v>
      </c>
      <c r="T108" s="104" t="s">
        <v>39</v>
      </c>
      <c r="U108" s="101" t="s">
        <v>409</v>
      </c>
      <c r="V108" s="103" t="s">
        <v>39</v>
      </c>
    </row>
    <row r="109" spans="2:22" ht="18.75" customHeight="1" x14ac:dyDescent="0.3">
      <c r="B109" s="21" t="s">
        <v>410</v>
      </c>
      <c r="C109" s="101" t="s">
        <v>161</v>
      </c>
      <c r="D109" s="101" t="s">
        <v>39</v>
      </c>
      <c r="E109" s="101" t="s">
        <v>39</v>
      </c>
      <c r="F109" s="102">
        <v>44789</v>
      </c>
      <c r="G109" s="102" t="s">
        <v>39</v>
      </c>
      <c r="H109" s="30">
        <v>44762</v>
      </c>
      <c r="I109" s="28" t="s">
        <v>411</v>
      </c>
      <c r="J109" s="22" t="s">
        <v>34</v>
      </c>
      <c r="K109" s="22" t="s">
        <v>35</v>
      </c>
      <c r="L109" s="101" t="s">
        <v>35</v>
      </c>
      <c r="M109" s="101" t="s">
        <v>39</v>
      </c>
      <c r="N109" s="97">
        <v>107330</v>
      </c>
      <c r="O109" s="97" t="s">
        <v>39</v>
      </c>
      <c r="P109" s="97" t="s">
        <v>39</v>
      </c>
      <c r="Q109" s="23">
        <v>0</v>
      </c>
      <c r="R109" s="22" t="s">
        <v>412</v>
      </c>
      <c r="S109" s="104" t="s">
        <v>114</v>
      </c>
      <c r="T109" s="104" t="s">
        <v>39</v>
      </c>
      <c r="U109" s="101" t="s">
        <v>115</v>
      </c>
      <c r="V109" s="103" t="s">
        <v>39</v>
      </c>
    </row>
    <row r="110" spans="2:22" ht="18.75" customHeight="1" x14ac:dyDescent="0.3">
      <c r="B110" s="21" t="s">
        <v>413</v>
      </c>
      <c r="C110" s="101" t="s">
        <v>161</v>
      </c>
      <c r="D110" s="101" t="s">
        <v>39</v>
      </c>
      <c r="E110" s="101" t="s">
        <v>39</v>
      </c>
      <c r="F110" s="102">
        <v>44789</v>
      </c>
      <c r="G110" s="102" t="s">
        <v>39</v>
      </c>
      <c r="H110" s="30">
        <v>44757</v>
      </c>
      <c r="I110" s="28" t="s">
        <v>39</v>
      </c>
      <c r="J110" s="22" t="s">
        <v>34</v>
      </c>
      <c r="K110" s="22" t="s">
        <v>35</v>
      </c>
      <c r="L110" s="101" t="s">
        <v>35</v>
      </c>
      <c r="M110" s="101" t="s">
        <v>39</v>
      </c>
      <c r="N110" s="97">
        <v>300</v>
      </c>
      <c r="O110" s="97" t="s">
        <v>39</v>
      </c>
      <c r="P110" s="97" t="s">
        <v>39</v>
      </c>
      <c r="Q110" s="23">
        <v>0</v>
      </c>
      <c r="R110" s="22" t="s">
        <v>191</v>
      </c>
      <c r="S110" s="104" t="s">
        <v>414</v>
      </c>
      <c r="T110" s="104" t="s">
        <v>39</v>
      </c>
      <c r="U110" s="101" t="s">
        <v>193</v>
      </c>
      <c r="V110" s="103" t="s">
        <v>39</v>
      </c>
    </row>
    <row r="111" spans="2:22" ht="18.75" customHeight="1" x14ac:dyDescent="0.3">
      <c r="B111" s="21" t="s">
        <v>415</v>
      </c>
      <c r="C111" s="101" t="s">
        <v>161</v>
      </c>
      <c r="D111" s="101" t="s">
        <v>39</v>
      </c>
      <c r="E111" s="101" t="s">
        <v>39</v>
      </c>
      <c r="F111" s="102">
        <v>44789</v>
      </c>
      <c r="G111" s="102" t="s">
        <v>39</v>
      </c>
      <c r="H111" s="30">
        <v>44757</v>
      </c>
      <c r="I111" s="28" t="s">
        <v>416</v>
      </c>
      <c r="J111" s="22" t="s">
        <v>34</v>
      </c>
      <c r="K111" s="22" t="s">
        <v>35</v>
      </c>
      <c r="L111" s="101" t="s">
        <v>35</v>
      </c>
      <c r="M111" s="101" t="s">
        <v>39</v>
      </c>
      <c r="N111" s="97">
        <v>600000</v>
      </c>
      <c r="O111" s="97" t="s">
        <v>39</v>
      </c>
      <c r="P111" s="97" t="s">
        <v>39</v>
      </c>
      <c r="Q111" s="23">
        <v>0</v>
      </c>
      <c r="R111" s="22" t="s">
        <v>417</v>
      </c>
      <c r="S111" s="104" t="s">
        <v>418</v>
      </c>
      <c r="T111" s="104" t="s">
        <v>39</v>
      </c>
      <c r="U111" s="101" t="s">
        <v>419</v>
      </c>
      <c r="V111" s="103" t="s">
        <v>39</v>
      </c>
    </row>
    <row r="112" spans="2:22" ht="18.75" customHeight="1" x14ac:dyDescent="0.3">
      <c r="B112" s="21" t="s">
        <v>420</v>
      </c>
      <c r="C112" s="101" t="s">
        <v>161</v>
      </c>
      <c r="D112" s="101" t="s">
        <v>39</v>
      </c>
      <c r="E112" s="101" t="s">
        <v>39</v>
      </c>
      <c r="F112" s="102">
        <v>44789</v>
      </c>
      <c r="G112" s="102" t="s">
        <v>39</v>
      </c>
      <c r="H112" s="30">
        <v>44754</v>
      </c>
      <c r="I112" s="28" t="s">
        <v>344</v>
      </c>
      <c r="J112" s="22" t="s">
        <v>34</v>
      </c>
      <c r="K112" s="22" t="s">
        <v>35</v>
      </c>
      <c r="L112" s="101" t="s">
        <v>35</v>
      </c>
      <c r="M112" s="101" t="s">
        <v>39</v>
      </c>
      <c r="N112" s="97">
        <v>95940</v>
      </c>
      <c r="O112" s="97" t="s">
        <v>39</v>
      </c>
      <c r="P112" s="97" t="s">
        <v>39</v>
      </c>
      <c r="Q112" s="23">
        <v>0</v>
      </c>
      <c r="R112" s="22" t="s">
        <v>421</v>
      </c>
      <c r="S112" s="104" t="s">
        <v>114</v>
      </c>
      <c r="T112" s="104" t="s">
        <v>39</v>
      </c>
      <c r="U112" s="101" t="s">
        <v>115</v>
      </c>
      <c r="V112" s="103" t="s">
        <v>39</v>
      </c>
    </row>
    <row r="113" spans="2:22" ht="18.75" customHeight="1" x14ac:dyDescent="0.3">
      <c r="B113" s="21" t="s">
        <v>422</v>
      </c>
      <c r="C113" s="101" t="s">
        <v>161</v>
      </c>
      <c r="D113" s="101" t="s">
        <v>39</v>
      </c>
      <c r="E113" s="101" t="s">
        <v>39</v>
      </c>
      <c r="F113" s="102">
        <v>44789</v>
      </c>
      <c r="G113" s="102" t="s">
        <v>39</v>
      </c>
      <c r="H113" s="30">
        <v>44754</v>
      </c>
      <c r="I113" s="28" t="s">
        <v>423</v>
      </c>
      <c r="J113" s="22" t="s">
        <v>34</v>
      </c>
      <c r="K113" s="22" t="s">
        <v>35</v>
      </c>
      <c r="L113" s="101" t="s">
        <v>35</v>
      </c>
      <c r="M113" s="101" t="s">
        <v>39</v>
      </c>
      <c r="N113" s="97">
        <v>98900</v>
      </c>
      <c r="O113" s="97" t="s">
        <v>39</v>
      </c>
      <c r="P113" s="97" t="s">
        <v>39</v>
      </c>
      <c r="Q113" s="23">
        <v>0</v>
      </c>
      <c r="R113" s="22" t="s">
        <v>424</v>
      </c>
      <c r="S113" s="104" t="s">
        <v>114</v>
      </c>
      <c r="T113" s="104" t="s">
        <v>39</v>
      </c>
      <c r="U113" s="101" t="s">
        <v>115</v>
      </c>
      <c r="V113" s="103" t="s">
        <v>39</v>
      </c>
    </row>
    <row r="114" spans="2:22" ht="18.75" customHeight="1" x14ac:dyDescent="0.3">
      <c r="B114" s="21" t="s">
        <v>425</v>
      </c>
      <c r="C114" s="101" t="s">
        <v>161</v>
      </c>
      <c r="D114" s="101" t="s">
        <v>39</v>
      </c>
      <c r="E114" s="101" t="s">
        <v>39</v>
      </c>
      <c r="F114" s="102">
        <v>44789</v>
      </c>
      <c r="G114" s="102" t="s">
        <v>39</v>
      </c>
      <c r="H114" s="30">
        <v>44754</v>
      </c>
      <c r="I114" s="28" t="s">
        <v>426</v>
      </c>
      <c r="J114" s="22" t="s">
        <v>34</v>
      </c>
      <c r="K114" s="22" t="s">
        <v>35</v>
      </c>
      <c r="L114" s="101" t="s">
        <v>35</v>
      </c>
      <c r="M114" s="101" t="s">
        <v>39</v>
      </c>
      <c r="N114" s="97">
        <v>6500</v>
      </c>
      <c r="O114" s="97" t="s">
        <v>39</v>
      </c>
      <c r="P114" s="97" t="s">
        <v>39</v>
      </c>
      <c r="Q114" s="23">
        <v>0</v>
      </c>
      <c r="R114" s="22" t="s">
        <v>427</v>
      </c>
      <c r="S114" s="104" t="s">
        <v>114</v>
      </c>
      <c r="T114" s="104" t="s">
        <v>39</v>
      </c>
      <c r="U114" s="101" t="s">
        <v>115</v>
      </c>
      <c r="V114" s="103" t="s">
        <v>39</v>
      </c>
    </row>
    <row r="115" spans="2:22" ht="18.75" customHeight="1" x14ac:dyDescent="0.3">
      <c r="B115" s="21" t="s">
        <v>428</v>
      </c>
      <c r="C115" s="101" t="s">
        <v>161</v>
      </c>
      <c r="D115" s="101" t="s">
        <v>39</v>
      </c>
      <c r="E115" s="101" t="s">
        <v>39</v>
      </c>
      <c r="F115" s="102">
        <v>44789</v>
      </c>
      <c r="G115" s="102" t="s">
        <v>39</v>
      </c>
      <c r="H115" s="30">
        <v>44754</v>
      </c>
      <c r="I115" s="28" t="s">
        <v>429</v>
      </c>
      <c r="J115" s="22" t="s">
        <v>34</v>
      </c>
      <c r="K115" s="22" t="s">
        <v>35</v>
      </c>
      <c r="L115" s="101" t="s">
        <v>35</v>
      </c>
      <c r="M115" s="101" t="s">
        <v>39</v>
      </c>
      <c r="N115" s="97">
        <v>44000</v>
      </c>
      <c r="O115" s="97" t="s">
        <v>39</v>
      </c>
      <c r="P115" s="97" t="s">
        <v>39</v>
      </c>
      <c r="Q115" s="23">
        <v>0</v>
      </c>
      <c r="R115" s="22" t="s">
        <v>430</v>
      </c>
      <c r="S115" s="104" t="s">
        <v>114</v>
      </c>
      <c r="T115" s="104" t="s">
        <v>39</v>
      </c>
      <c r="U115" s="101" t="s">
        <v>115</v>
      </c>
      <c r="V115" s="103" t="s">
        <v>39</v>
      </c>
    </row>
    <row r="116" spans="2:22" ht="18.75" customHeight="1" x14ac:dyDescent="0.3">
      <c r="B116" s="21" t="s">
        <v>431</v>
      </c>
      <c r="C116" s="101" t="s">
        <v>161</v>
      </c>
      <c r="D116" s="101" t="s">
        <v>39</v>
      </c>
      <c r="E116" s="101" t="s">
        <v>39</v>
      </c>
      <c r="F116" s="102">
        <v>44789</v>
      </c>
      <c r="G116" s="102" t="s">
        <v>39</v>
      </c>
      <c r="H116" s="30">
        <v>44754</v>
      </c>
      <c r="I116" s="28" t="s">
        <v>432</v>
      </c>
      <c r="J116" s="22" t="s">
        <v>34</v>
      </c>
      <c r="K116" s="22" t="s">
        <v>35</v>
      </c>
      <c r="L116" s="101" t="s">
        <v>35</v>
      </c>
      <c r="M116" s="101" t="s">
        <v>39</v>
      </c>
      <c r="N116" s="97">
        <v>14100</v>
      </c>
      <c r="O116" s="97" t="s">
        <v>39</v>
      </c>
      <c r="P116" s="97" t="s">
        <v>39</v>
      </c>
      <c r="Q116" s="23">
        <v>0</v>
      </c>
      <c r="R116" s="22" t="s">
        <v>433</v>
      </c>
      <c r="S116" s="104" t="s">
        <v>80</v>
      </c>
      <c r="T116" s="104" t="s">
        <v>39</v>
      </c>
      <c r="U116" s="101" t="s">
        <v>81</v>
      </c>
      <c r="V116" s="103" t="s">
        <v>39</v>
      </c>
    </row>
    <row r="117" spans="2:22" ht="18.75" customHeight="1" x14ac:dyDescent="0.3">
      <c r="B117" s="21" t="s">
        <v>434</v>
      </c>
      <c r="C117" s="101" t="s">
        <v>161</v>
      </c>
      <c r="D117" s="101" t="s">
        <v>39</v>
      </c>
      <c r="E117" s="101" t="s">
        <v>39</v>
      </c>
      <c r="F117" s="102">
        <v>44789</v>
      </c>
      <c r="G117" s="102" t="s">
        <v>39</v>
      </c>
      <c r="H117" s="30">
        <v>44753</v>
      </c>
      <c r="I117" s="28" t="s">
        <v>435</v>
      </c>
      <c r="J117" s="22" t="s">
        <v>34</v>
      </c>
      <c r="K117" s="22" t="s">
        <v>35</v>
      </c>
      <c r="L117" s="101" t="s">
        <v>35</v>
      </c>
      <c r="M117" s="101" t="s">
        <v>39</v>
      </c>
      <c r="N117" s="97">
        <v>41400</v>
      </c>
      <c r="O117" s="97" t="s">
        <v>39</v>
      </c>
      <c r="P117" s="97" t="s">
        <v>39</v>
      </c>
      <c r="Q117" s="23">
        <v>0</v>
      </c>
      <c r="R117" s="22" t="s">
        <v>436</v>
      </c>
      <c r="S117" s="104" t="s">
        <v>114</v>
      </c>
      <c r="T117" s="104" t="s">
        <v>39</v>
      </c>
      <c r="U117" s="101" t="s">
        <v>115</v>
      </c>
      <c r="V117" s="103" t="s">
        <v>39</v>
      </c>
    </row>
    <row r="118" spans="2:22" ht="18.75" customHeight="1" x14ac:dyDescent="0.3">
      <c r="B118" s="21" t="s">
        <v>437</v>
      </c>
      <c r="C118" s="101" t="s">
        <v>161</v>
      </c>
      <c r="D118" s="101" t="s">
        <v>39</v>
      </c>
      <c r="E118" s="101" t="s">
        <v>39</v>
      </c>
      <c r="F118" s="102">
        <v>44789</v>
      </c>
      <c r="G118" s="102" t="s">
        <v>39</v>
      </c>
      <c r="H118" s="30">
        <v>44753</v>
      </c>
      <c r="I118" s="28" t="s">
        <v>438</v>
      </c>
      <c r="J118" s="22" t="s">
        <v>34</v>
      </c>
      <c r="K118" s="22" t="s">
        <v>35</v>
      </c>
      <c r="L118" s="101" t="s">
        <v>35</v>
      </c>
      <c r="M118" s="101" t="s">
        <v>39</v>
      </c>
      <c r="N118" s="97">
        <v>10000</v>
      </c>
      <c r="O118" s="97" t="s">
        <v>39</v>
      </c>
      <c r="P118" s="97" t="s">
        <v>39</v>
      </c>
      <c r="Q118" s="23">
        <v>0</v>
      </c>
      <c r="R118" s="22" t="s">
        <v>439</v>
      </c>
      <c r="S118" s="104" t="s">
        <v>142</v>
      </c>
      <c r="T118" s="104" t="s">
        <v>39</v>
      </c>
      <c r="U118" s="101" t="s">
        <v>143</v>
      </c>
      <c r="V118" s="103" t="s">
        <v>39</v>
      </c>
    </row>
    <row r="119" spans="2:22" ht="18.75" customHeight="1" x14ac:dyDescent="0.3">
      <c r="B119" s="21" t="s">
        <v>440</v>
      </c>
      <c r="C119" s="101" t="s">
        <v>161</v>
      </c>
      <c r="D119" s="101" t="s">
        <v>39</v>
      </c>
      <c r="E119" s="101" t="s">
        <v>39</v>
      </c>
      <c r="F119" s="102">
        <v>44789</v>
      </c>
      <c r="G119" s="102" t="s">
        <v>39</v>
      </c>
      <c r="H119" s="30">
        <v>44751</v>
      </c>
      <c r="I119" s="28" t="s">
        <v>441</v>
      </c>
      <c r="J119" s="22" t="s">
        <v>34</v>
      </c>
      <c r="K119" s="22" t="s">
        <v>35</v>
      </c>
      <c r="L119" s="101" t="s">
        <v>35</v>
      </c>
      <c r="M119" s="101" t="s">
        <v>39</v>
      </c>
      <c r="N119" s="97">
        <v>116100</v>
      </c>
      <c r="O119" s="97" t="s">
        <v>39</v>
      </c>
      <c r="P119" s="97" t="s">
        <v>39</v>
      </c>
      <c r="Q119" s="23">
        <v>0</v>
      </c>
      <c r="R119" s="22" t="s">
        <v>442</v>
      </c>
      <c r="S119" s="104" t="s">
        <v>443</v>
      </c>
      <c r="T119" s="104" t="s">
        <v>39</v>
      </c>
      <c r="U119" s="101" t="s">
        <v>444</v>
      </c>
      <c r="V119" s="103" t="s">
        <v>39</v>
      </c>
    </row>
    <row r="120" spans="2:22" ht="18.75" customHeight="1" x14ac:dyDescent="0.3">
      <c r="B120" s="21" t="s">
        <v>445</v>
      </c>
      <c r="C120" s="101" t="s">
        <v>161</v>
      </c>
      <c r="D120" s="101" t="s">
        <v>39</v>
      </c>
      <c r="E120" s="101" t="s">
        <v>39</v>
      </c>
      <c r="F120" s="102">
        <v>44789</v>
      </c>
      <c r="G120" s="102" t="s">
        <v>39</v>
      </c>
      <c r="H120" s="30">
        <v>44751</v>
      </c>
      <c r="I120" s="28" t="s">
        <v>446</v>
      </c>
      <c r="J120" s="22" t="s">
        <v>34</v>
      </c>
      <c r="K120" s="22" t="s">
        <v>35</v>
      </c>
      <c r="L120" s="101" t="s">
        <v>35</v>
      </c>
      <c r="M120" s="101" t="s">
        <v>39</v>
      </c>
      <c r="N120" s="97">
        <v>14300</v>
      </c>
      <c r="O120" s="97" t="s">
        <v>39</v>
      </c>
      <c r="P120" s="97" t="s">
        <v>39</v>
      </c>
      <c r="Q120" s="23">
        <v>0</v>
      </c>
      <c r="R120" s="22" t="s">
        <v>447</v>
      </c>
      <c r="S120" s="104" t="s">
        <v>142</v>
      </c>
      <c r="T120" s="104" t="s">
        <v>39</v>
      </c>
      <c r="U120" s="101" t="s">
        <v>143</v>
      </c>
      <c r="V120" s="103" t="s">
        <v>39</v>
      </c>
    </row>
    <row r="121" spans="2:22" ht="18.75" customHeight="1" x14ac:dyDescent="0.3">
      <c r="B121" s="21" t="s">
        <v>448</v>
      </c>
      <c r="C121" s="101" t="s">
        <v>161</v>
      </c>
      <c r="D121" s="101" t="s">
        <v>39</v>
      </c>
      <c r="E121" s="101" t="s">
        <v>39</v>
      </c>
      <c r="F121" s="102">
        <v>44789</v>
      </c>
      <c r="G121" s="102" t="s">
        <v>39</v>
      </c>
      <c r="H121" s="30">
        <v>44746</v>
      </c>
      <c r="I121" s="28" t="s">
        <v>449</v>
      </c>
      <c r="J121" s="22" t="s">
        <v>34</v>
      </c>
      <c r="K121" s="22" t="s">
        <v>35</v>
      </c>
      <c r="L121" s="101" t="s">
        <v>35</v>
      </c>
      <c r="M121" s="101" t="s">
        <v>39</v>
      </c>
      <c r="N121" s="97">
        <v>59800</v>
      </c>
      <c r="O121" s="97" t="s">
        <v>39</v>
      </c>
      <c r="P121" s="97" t="s">
        <v>39</v>
      </c>
      <c r="Q121" s="23">
        <v>0</v>
      </c>
      <c r="R121" s="22" t="s">
        <v>450</v>
      </c>
      <c r="S121" s="104" t="s">
        <v>114</v>
      </c>
      <c r="T121" s="104" t="s">
        <v>39</v>
      </c>
      <c r="U121" s="101" t="s">
        <v>115</v>
      </c>
      <c r="V121" s="103" t="s">
        <v>39</v>
      </c>
    </row>
    <row r="122" spans="2:22" ht="18.75" customHeight="1" x14ac:dyDescent="0.3">
      <c r="B122" s="21" t="s">
        <v>451</v>
      </c>
      <c r="C122" s="101" t="s">
        <v>161</v>
      </c>
      <c r="D122" s="101" t="s">
        <v>39</v>
      </c>
      <c r="E122" s="101" t="s">
        <v>39</v>
      </c>
      <c r="F122" s="102">
        <v>44789</v>
      </c>
      <c r="G122" s="102" t="s">
        <v>39</v>
      </c>
      <c r="H122" s="30">
        <v>44745</v>
      </c>
      <c r="I122" s="28" t="s">
        <v>452</v>
      </c>
      <c r="J122" s="22" t="s">
        <v>34</v>
      </c>
      <c r="K122" s="22" t="s">
        <v>35</v>
      </c>
      <c r="L122" s="101" t="s">
        <v>35</v>
      </c>
      <c r="M122" s="101" t="s">
        <v>39</v>
      </c>
      <c r="N122" s="97">
        <v>34000</v>
      </c>
      <c r="O122" s="97" t="s">
        <v>39</v>
      </c>
      <c r="P122" s="97" t="s">
        <v>39</v>
      </c>
      <c r="Q122" s="23">
        <v>0</v>
      </c>
      <c r="R122" s="22" t="s">
        <v>453</v>
      </c>
      <c r="S122" s="104" t="s">
        <v>454</v>
      </c>
      <c r="T122" s="104" t="s">
        <v>39</v>
      </c>
      <c r="U122" s="101" t="s">
        <v>444</v>
      </c>
      <c r="V122" s="103" t="s">
        <v>39</v>
      </c>
    </row>
    <row r="123" spans="2:22" ht="18.75" customHeight="1" x14ac:dyDescent="0.3">
      <c r="B123" s="21" t="s">
        <v>455</v>
      </c>
      <c r="C123" s="101" t="s">
        <v>161</v>
      </c>
      <c r="D123" s="101" t="s">
        <v>39</v>
      </c>
      <c r="E123" s="101" t="s">
        <v>39</v>
      </c>
      <c r="F123" s="102">
        <v>44789</v>
      </c>
      <c r="G123" s="102" t="s">
        <v>39</v>
      </c>
      <c r="H123" s="30">
        <v>44745</v>
      </c>
      <c r="I123" s="28" t="s">
        <v>456</v>
      </c>
      <c r="J123" s="22" t="s">
        <v>34</v>
      </c>
      <c r="K123" s="22" t="s">
        <v>35</v>
      </c>
      <c r="L123" s="101" t="s">
        <v>35</v>
      </c>
      <c r="M123" s="101" t="s">
        <v>39</v>
      </c>
      <c r="N123" s="97">
        <v>69000</v>
      </c>
      <c r="O123" s="97" t="s">
        <v>39</v>
      </c>
      <c r="P123" s="97" t="s">
        <v>39</v>
      </c>
      <c r="Q123" s="23">
        <v>0</v>
      </c>
      <c r="R123" s="22" t="s">
        <v>457</v>
      </c>
      <c r="S123" s="104" t="s">
        <v>458</v>
      </c>
      <c r="T123" s="104" t="s">
        <v>39</v>
      </c>
      <c r="U123" s="101" t="s">
        <v>444</v>
      </c>
      <c r="V123" s="103" t="s">
        <v>39</v>
      </c>
    </row>
    <row r="124" spans="2:22" ht="18.75" customHeight="1" x14ac:dyDescent="0.3">
      <c r="B124" s="21" t="s">
        <v>459</v>
      </c>
      <c r="C124" s="101" t="s">
        <v>161</v>
      </c>
      <c r="D124" s="101" t="s">
        <v>39</v>
      </c>
      <c r="E124" s="101" t="s">
        <v>39</v>
      </c>
      <c r="F124" s="102">
        <v>44789</v>
      </c>
      <c r="G124" s="102" t="s">
        <v>39</v>
      </c>
      <c r="H124" s="30">
        <v>44743</v>
      </c>
      <c r="I124" s="28" t="s">
        <v>460</v>
      </c>
      <c r="J124" s="22" t="s">
        <v>34</v>
      </c>
      <c r="K124" s="22" t="s">
        <v>35</v>
      </c>
      <c r="L124" s="101" t="s">
        <v>35</v>
      </c>
      <c r="M124" s="101" t="s">
        <v>39</v>
      </c>
      <c r="N124" s="97">
        <v>750</v>
      </c>
      <c r="O124" s="97" t="s">
        <v>39</v>
      </c>
      <c r="P124" s="97" t="s">
        <v>39</v>
      </c>
      <c r="Q124" s="23">
        <v>0</v>
      </c>
      <c r="R124" s="22" t="s">
        <v>461</v>
      </c>
      <c r="S124" s="104" t="s">
        <v>55</v>
      </c>
      <c r="T124" s="104" t="s">
        <v>39</v>
      </c>
      <c r="U124" s="101" t="s">
        <v>56</v>
      </c>
      <c r="V124" s="103" t="s">
        <v>39</v>
      </c>
    </row>
    <row r="125" spans="2:22" ht="18.75" customHeight="1" x14ac:dyDescent="0.3">
      <c r="B125" s="21" t="s">
        <v>462</v>
      </c>
      <c r="C125" s="101" t="s">
        <v>161</v>
      </c>
      <c r="D125" s="101" t="s">
        <v>39</v>
      </c>
      <c r="E125" s="101" t="s">
        <v>39</v>
      </c>
      <c r="F125" s="102">
        <v>44789</v>
      </c>
      <c r="G125" s="102" t="s">
        <v>39</v>
      </c>
      <c r="H125" s="30">
        <v>44743</v>
      </c>
      <c r="I125" s="28" t="s">
        <v>463</v>
      </c>
      <c r="J125" s="22" t="s">
        <v>34</v>
      </c>
      <c r="K125" s="22" t="s">
        <v>35</v>
      </c>
      <c r="L125" s="101" t="s">
        <v>35</v>
      </c>
      <c r="M125" s="101" t="s">
        <v>39</v>
      </c>
      <c r="N125" s="97">
        <v>77410</v>
      </c>
      <c r="O125" s="97" t="s">
        <v>39</v>
      </c>
      <c r="P125" s="97" t="s">
        <v>39</v>
      </c>
      <c r="Q125" s="23">
        <v>0</v>
      </c>
      <c r="R125" s="22" t="s">
        <v>464</v>
      </c>
      <c r="S125" s="104" t="s">
        <v>55</v>
      </c>
      <c r="T125" s="104" t="s">
        <v>39</v>
      </c>
      <c r="U125" s="101" t="s">
        <v>56</v>
      </c>
      <c r="V125" s="103" t="s">
        <v>39</v>
      </c>
    </row>
    <row r="126" spans="2:22" ht="18.75" customHeight="1" x14ac:dyDescent="0.3">
      <c r="B126" s="21" t="s">
        <v>465</v>
      </c>
      <c r="C126" s="101" t="s">
        <v>161</v>
      </c>
      <c r="D126" s="101" t="s">
        <v>39</v>
      </c>
      <c r="E126" s="101" t="s">
        <v>39</v>
      </c>
      <c r="F126" s="102">
        <v>44756</v>
      </c>
      <c r="G126" s="102" t="s">
        <v>39</v>
      </c>
      <c r="H126" s="30">
        <v>44741</v>
      </c>
      <c r="I126" s="28" t="s">
        <v>466</v>
      </c>
      <c r="J126" s="22" t="s">
        <v>34</v>
      </c>
      <c r="K126" s="22" t="s">
        <v>35</v>
      </c>
      <c r="L126" s="101" t="s">
        <v>35</v>
      </c>
      <c r="M126" s="101" t="s">
        <v>39</v>
      </c>
      <c r="N126" s="97">
        <v>15900</v>
      </c>
      <c r="O126" s="97" t="s">
        <v>39</v>
      </c>
      <c r="P126" s="97" t="s">
        <v>39</v>
      </c>
      <c r="Q126" s="23">
        <v>0</v>
      </c>
      <c r="R126" s="22" t="s">
        <v>467</v>
      </c>
      <c r="S126" s="104" t="s">
        <v>408</v>
      </c>
      <c r="T126" s="104" t="s">
        <v>39</v>
      </c>
      <c r="U126" s="101" t="s">
        <v>409</v>
      </c>
      <c r="V126" s="103" t="s">
        <v>39</v>
      </c>
    </row>
    <row r="127" spans="2:22" ht="18.75" customHeight="1" x14ac:dyDescent="0.3">
      <c r="B127" s="21" t="s">
        <v>468</v>
      </c>
      <c r="C127" s="101" t="s">
        <v>161</v>
      </c>
      <c r="D127" s="101" t="s">
        <v>39</v>
      </c>
      <c r="E127" s="101" t="s">
        <v>39</v>
      </c>
      <c r="F127" s="102">
        <v>44756</v>
      </c>
      <c r="G127" s="102" t="s">
        <v>39</v>
      </c>
      <c r="H127" s="30">
        <v>44737</v>
      </c>
      <c r="I127" s="28" t="s">
        <v>469</v>
      </c>
      <c r="J127" s="22" t="s">
        <v>34</v>
      </c>
      <c r="K127" s="22" t="s">
        <v>35</v>
      </c>
      <c r="L127" s="101" t="s">
        <v>35</v>
      </c>
      <c r="M127" s="101" t="s">
        <v>39</v>
      </c>
      <c r="N127" s="97">
        <v>8800</v>
      </c>
      <c r="O127" s="97" t="s">
        <v>39</v>
      </c>
      <c r="P127" s="97" t="s">
        <v>39</v>
      </c>
      <c r="Q127" s="23">
        <v>0</v>
      </c>
      <c r="R127" s="22" t="s">
        <v>470</v>
      </c>
      <c r="S127" s="104" t="s">
        <v>408</v>
      </c>
      <c r="T127" s="104" t="s">
        <v>39</v>
      </c>
      <c r="U127" s="101" t="s">
        <v>409</v>
      </c>
      <c r="V127" s="103" t="s">
        <v>39</v>
      </c>
    </row>
    <row r="128" spans="2:22" ht="18.75" customHeight="1" x14ac:dyDescent="0.3">
      <c r="B128" s="21" t="s">
        <v>471</v>
      </c>
      <c r="C128" s="101" t="s">
        <v>161</v>
      </c>
      <c r="D128" s="101" t="s">
        <v>39</v>
      </c>
      <c r="E128" s="101" t="s">
        <v>39</v>
      </c>
      <c r="F128" s="102">
        <v>44756</v>
      </c>
      <c r="G128" s="102" t="s">
        <v>39</v>
      </c>
      <c r="H128" s="30">
        <v>44736</v>
      </c>
      <c r="I128" s="28" t="s">
        <v>472</v>
      </c>
      <c r="J128" s="22" t="s">
        <v>34</v>
      </c>
      <c r="K128" s="22" t="s">
        <v>35</v>
      </c>
      <c r="L128" s="101" t="s">
        <v>35</v>
      </c>
      <c r="M128" s="101" t="s">
        <v>39</v>
      </c>
      <c r="N128" s="97">
        <v>5900</v>
      </c>
      <c r="O128" s="97" t="s">
        <v>39</v>
      </c>
      <c r="P128" s="97" t="s">
        <v>39</v>
      </c>
      <c r="Q128" s="23">
        <v>0</v>
      </c>
      <c r="R128" s="22" t="s">
        <v>473</v>
      </c>
      <c r="S128" s="104" t="s">
        <v>114</v>
      </c>
      <c r="T128" s="104" t="s">
        <v>39</v>
      </c>
      <c r="U128" s="101" t="s">
        <v>115</v>
      </c>
      <c r="V128" s="103" t="s">
        <v>39</v>
      </c>
    </row>
    <row r="129" spans="2:22" ht="18.75" customHeight="1" x14ac:dyDescent="0.3">
      <c r="B129" s="21" t="s">
        <v>474</v>
      </c>
      <c r="C129" s="101" t="s">
        <v>161</v>
      </c>
      <c r="D129" s="101" t="s">
        <v>39</v>
      </c>
      <c r="E129" s="101" t="s">
        <v>39</v>
      </c>
      <c r="F129" s="102">
        <v>44756</v>
      </c>
      <c r="G129" s="102" t="s">
        <v>39</v>
      </c>
      <c r="H129" s="30">
        <v>44731</v>
      </c>
      <c r="I129" s="28" t="s">
        <v>475</v>
      </c>
      <c r="J129" s="22" t="s">
        <v>34</v>
      </c>
      <c r="K129" s="22" t="s">
        <v>35</v>
      </c>
      <c r="L129" s="101" t="s">
        <v>35</v>
      </c>
      <c r="M129" s="101" t="s">
        <v>39</v>
      </c>
      <c r="N129" s="97">
        <v>35000</v>
      </c>
      <c r="O129" s="97" t="s">
        <v>39</v>
      </c>
      <c r="P129" s="97" t="s">
        <v>39</v>
      </c>
      <c r="Q129" s="23">
        <v>0</v>
      </c>
      <c r="R129" s="22" t="s">
        <v>476</v>
      </c>
      <c r="S129" s="104" t="s">
        <v>477</v>
      </c>
      <c r="T129" s="104" t="s">
        <v>39</v>
      </c>
      <c r="U129" s="101" t="s">
        <v>478</v>
      </c>
      <c r="V129" s="103" t="s">
        <v>39</v>
      </c>
    </row>
    <row r="130" spans="2:22" ht="18.75" customHeight="1" x14ac:dyDescent="0.3">
      <c r="B130" s="21" t="s">
        <v>479</v>
      </c>
      <c r="C130" s="101" t="s">
        <v>161</v>
      </c>
      <c r="D130" s="101" t="s">
        <v>39</v>
      </c>
      <c r="E130" s="101" t="s">
        <v>39</v>
      </c>
      <c r="F130" s="102">
        <v>44756</v>
      </c>
      <c r="G130" s="102" t="s">
        <v>39</v>
      </c>
      <c r="H130" s="30">
        <v>44729</v>
      </c>
      <c r="I130" s="28" t="s">
        <v>480</v>
      </c>
      <c r="J130" s="22" t="s">
        <v>34</v>
      </c>
      <c r="K130" s="22" t="s">
        <v>35</v>
      </c>
      <c r="L130" s="101" t="s">
        <v>35</v>
      </c>
      <c r="M130" s="101" t="s">
        <v>39</v>
      </c>
      <c r="N130" s="97">
        <v>7640</v>
      </c>
      <c r="O130" s="97" t="s">
        <v>39</v>
      </c>
      <c r="P130" s="97" t="s">
        <v>39</v>
      </c>
      <c r="Q130" s="23">
        <v>0</v>
      </c>
      <c r="R130" s="22" t="s">
        <v>481</v>
      </c>
      <c r="S130" s="104" t="s">
        <v>114</v>
      </c>
      <c r="T130" s="104" t="s">
        <v>39</v>
      </c>
      <c r="U130" s="101" t="s">
        <v>115</v>
      </c>
      <c r="V130" s="103" t="s">
        <v>39</v>
      </c>
    </row>
    <row r="131" spans="2:22" ht="18.75" customHeight="1" x14ac:dyDescent="0.3">
      <c r="B131" s="21" t="s">
        <v>482</v>
      </c>
      <c r="C131" s="101" t="s">
        <v>161</v>
      </c>
      <c r="D131" s="101" t="s">
        <v>39</v>
      </c>
      <c r="E131" s="101" t="s">
        <v>39</v>
      </c>
      <c r="F131" s="102">
        <v>44756</v>
      </c>
      <c r="G131" s="102" t="s">
        <v>39</v>
      </c>
      <c r="H131" s="30">
        <v>44729</v>
      </c>
      <c r="I131" s="28" t="s">
        <v>483</v>
      </c>
      <c r="J131" s="22" t="s">
        <v>34</v>
      </c>
      <c r="K131" s="22" t="s">
        <v>35</v>
      </c>
      <c r="L131" s="101" t="s">
        <v>35</v>
      </c>
      <c r="M131" s="101" t="s">
        <v>39</v>
      </c>
      <c r="N131" s="97">
        <v>27060</v>
      </c>
      <c r="O131" s="97" t="s">
        <v>39</v>
      </c>
      <c r="P131" s="97" t="s">
        <v>39</v>
      </c>
      <c r="Q131" s="23">
        <v>0</v>
      </c>
      <c r="R131" s="22" t="s">
        <v>484</v>
      </c>
      <c r="S131" s="104" t="s">
        <v>114</v>
      </c>
      <c r="T131" s="104" t="s">
        <v>39</v>
      </c>
      <c r="U131" s="101" t="s">
        <v>115</v>
      </c>
      <c r="V131" s="103" t="s">
        <v>39</v>
      </c>
    </row>
    <row r="132" spans="2:22" s="59" customFormat="1" ht="18.75" customHeight="1" x14ac:dyDescent="0.3">
      <c r="B132" s="54" t="s">
        <v>485</v>
      </c>
      <c r="C132" s="114" t="s">
        <v>161</v>
      </c>
      <c r="D132" s="114" t="s">
        <v>39</v>
      </c>
      <c r="E132" s="114" t="s">
        <v>39</v>
      </c>
      <c r="F132" s="116">
        <v>44756</v>
      </c>
      <c r="G132" s="116" t="s">
        <v>39</v>
      </c>
      <c r="H132" s="56">
        <v>44727</v>
      </c>
      <c r="I132" s="57" t="s">
        <v>39</v>
      </c>
      <c r="J132" s="55" t="s">
        <v>486</v>
      </c>
      <c r="K132" s="55" t="s">
        <v>35</v>
      </c>
      <c r="L132" s="114" t="s">
        <v>35</v>
      </c>
      <c r="M132" s="114" t="s">
        <v>39</v>
      </c>
      <c r="N132" s="115">
        <v>-74700</v>
      </c>
      <c r="O132" s="115" t="s">
        <v>39</v>
      </c>
      <c r="P132" s="115" t="s">
        <v>39</v>
      </c>
      <c r="Q132" s="58">
        <v>0</v>
      </c>
      <c r="R132" s="55" t="s">
        <v>487</v>
      </c>
      <c r="S132" s="118" t="s">
        <v>114</v>
      </c>
      <c r="T132" s="118" t="s">
        <v>39</v>
      </c>
      <c r="U132" s="114" t="s">
        <v>115</v>
      </c>
      <c r="V132" s="117" t="s">
        <v>39</v>
      </c>
    </row>
    <row r="133" spans="2:22" ht="18.75" customHeight="1" x14ac:dyDescent="0.3">
      <c r="B133" s="21" t="s">
        <v>488</v>
      </c>
      <c r="C133" s="101" t="s">
        <v>161</v>
      </c>
      <c r="D133" s="101" t="s">
        <v>39</v>
      </c>
      <c r="E133" s="101" t="s">
        <v>39</v>
      </c>
      <c r="F133" s="102">
        <v>44756</v>
      </c>
      <c r="G133" s="102" t="s">
        <v>39</v>
      </c>
      <c r="H133" s="30">
        <v>44727</v>
      </c>
      <c r="I133" s="28" t="s">
        <v>39</v>
      </c>
      <c r="J133" s="22" t="s">
        <v>34</v>
      </c>
      <c r="K133" s="22" t="s">
        <v>35</v>
      </c>
      <c r="L133" s="101" t="s">
        <v>35</v>
      </c>
      <c r="M133" s="101" t="s">
        <v>39</v>
      </c>
      <c r="N133" s="97">
        <v>300</v>
      </c>
      <c r="O133" s="97" t="s">
        <v>39</v>
      </c>
      <c r="P133" s="97" t="s">
        <v>39</v>
      </c>
      <c r="Q133" s="23">
        <v>0</v>
      </c>
      <c r="R133" s="22" t="s">
        <v>191</v>
      </c>
      <c r="S133" s="104" t="s">
        <v>489</v>
      </c>
      <c r="T133" s="104" t="s">
        <v>39</v>
      </c>
      <c r="U133" s="101" t="s">
        <v>193</v>
      </c>
      <c r="V133" s="103" t="s">
        <v>39</v>
      </c>
    </row>
    <row r="134" spans="2:22" ht="18.75" customHeight="1" x14ac:dyDescent="0.3">
      <c r="B134" s="21" t="s">
        <v>490</v>
      </c>
      <c r="C134" s="101" t="s">
        <v>161</v>
      </c>
      <c r="D134" s="101" t="s">
        <v>39</v>
      </c>
      <c r="E134" s="101" t="s">
        <v>39</v>
      </c>
      <c r="F134" s="102">
        <v>44756</v>
      </c>
      <c r="G134" s="102" t="s">
        <v>39</v>
      </c>
      <c r="H134" s="30">
        <v>44727</v>
      </c>
      <c r="I134" s="28" t="s">
        <v>491</v>
      </c>
      <c r="J134" s="22" t="s">
        <v>34</v>
      </c>
      <c r="K134" s="22" t="s">
        <v>35</v>
      </c>
      <c r="L134" s="101" t="s">
        <v>35</v>
      </c>
      <c r="M134" s="101" t="s">
        <v>39</v>
      </c>
      <c r="N134" s="97">
        <v>74700</v>
      </c>
      <c r="O134" s="97" t="s">
        <v>39</v>
      </c>
      <c r="P134" s="97" t="s">
        <v>39</v>
      </c>
      <c r="Q134" s="23">
        <v>0</v>
      </c>
      <c r="R134" s="22" t="s">
        <v>492</v>
      </c>
      <c r="S134" s="104" t="s">
        <v>114</v>
      </c>
      <c r="T134" s="104" t="s">
        <v>39</v>
      </c>
      <c r="U134" s="101" t="s">
        <v>115</v>
      </c>
      <c r="V134" s="103" t="s">
        <v>39</v>
      </c>
    </row>
    <row r="135" spans="2:22" ht="18.75" customHeight="1" x14ac:dyDescent="0.3">
      <c r="B135" s="21" t="s">
        <v>493</v>
      </c>
      <c r="C135" s="101" t="s">
        <v>161</v>
      </c>
      <c r="D135" s="101" t="s">
        <v>39</v>
      </c>
      <c r="E135" s="101" t="s">
        <v>39</v>
      </c>
      <c r="F135" s="102">
        <v>44756</v>
      </c>
      <c r="G135" s="102" t="s">
        <v>39</v>
      </c>
      <c r="H135" s="30">
        <v>44727</v>
      </c>
      <c r="I135" s="28" t="s">
        <v>494</v>
      </c>
      <c r="J135" s="22" t="s">
        <v>34</v>
      </c>
      <c r="K135" s="22" t="s">
        <v>35</v>
      </c>
      <c r="L135" s="101" t="s">
        <v>35</v>
      </c>
      <c r="M135" s="101" t="s">
        <v>39</v>
      </c>
      <c r="N135" s="97">
        <v>7500</v>
      </c>
      <c r="O135" s="97" t="s">
        <v>39</v>
      </c>
      <c r="P135" s="97" t="s">
        <v>39</v>
      </c>
      <c r="Q135" s="23">
        <v>0</v>
      </c>
      <c r="R135" s="22" t="s">
        <v>495</v>
      </c>
      <c r="S135" s="104" t="s">
        <v>199</v>
      </c>
      <c r="T135" s="104" t="s">
        <v>39</v>
      </c>
      <c r="U135" s="101" t="s">
        <v>200</v>
      </c>
      <c r="V135" s="103" t="s">
        <v>39</v>
      </c>
    </row>
    <row r="136" spans="2:22" ht="18.75" customHeight="1" x14ac:dyDescent="0.3">
      <c r="B136" s="21" t="s">
        <v>496</v>
      </c>
      <c r="C136" s="101" t="s">
        <v>161</v>
      </c>
      <c r="D136" s="101" t="s">
        <v>39</v>
      </c>
      <c r="E136" s="101" t="s">
        <v>39</v>
      </c>
      <c r="F136" s="102">
        <v>44756</v>
      </c>
      <c r="G136" s="102" t="s">
        <v>39</v>
      </c>
      <c r="H136" s="30">
        <v>44727</v>
      </c>
      <c r="I136" s="28" t="s">
        <v>497</v>
      </c>
      <c r="J136" s="22" t="s">
        <v>34</v>
      </c>
      <c r="K136" s="22" t="s">
        <v>35</v>
      </c>
      <c r="L136" s="101" t="s">
        <v>35</v>
      </c>
      <c r="M136" s="101" t="s">
        <v>39</v>
      </c>
      <c r="N136" s="97">
        <v>106000</v>
      </c>
      <c r="O136" s="97" t="s">
        <v>39</v>
      </c>
      <c r="P136" s="97" t="s">
        <v>39</v>
      </c>
      <c r="Q136" s="23">
        <v>0</v>
      </c>
      <c r="R136" s="22" t="s">
        <v>498</v>
      </c>
      <c r="S136" s="104" t="s">
        <v>499</v>
      </c>
      <c r="T136" s="104" t="s">
        <v>39</v>
      </c>
      <c r="U136" s="101" t="s">
        <v>500</v>
      </c>
      <c r="V136" s="103" t="s">
        <v>39</v>
      </c>
    </row>
    <row r="137" spans="2:22" ht="18.75" customHeight="1" x14ac:dyDescent="0.3">
      <c r="B137" s="21" t="s">
        <v>501</v>
      </c>
      <c r="C137" s="101" t="s">
        <v>161</v>
      </c>
      <c r="D137" s="101" t="s">
        <v>39</v>
      </c>
      <c r="E137" s="101" t="s">
        <v>39</v>
      </c>
      <c r="F137" s="102">
        <v>44756</v>
      </c>
      <c r="G137" s="102" t="s">
        <v>39</v>
      </c>
      <c r="H137" s="30">
        <v>44726</v>
      </c>
      <c r="I137" s="28" t="s">
        <v>502</v>
      </c>
      <c r="J137" s="22" t="s">
        <v>34</v>
      </c>
      <c r="K137" s="22" t="s">
        <v>35</v>
      </c>
      <c r="L137" s="101" t="s">
        <v>35</v>
      </c>
      <c r="M137" s="101" t="s">
        <v>39</v>
      </c>
      <c r="N137" s="97">
        <v>100480</v>
      </c>
      <c r="O137" s="97" t="s">
        <v>39</v>
      </c>
      <c r="P137" s="97" t="s">
        <v>39</v>
      </c>
      <c r="Q137" s="23">
        <v>0</v>
      </c>
      <c r="R137" s="22" t="s">
        <v>503</v>
      </c>
      <c r="S137" s="104" t="s">
        <v>199</v>
      </c>
      <c r="T137" s="104" t="s">
        <v>39</v>
      </c>
      <c r="U137" s="101" t="s">
        <v>200</v>
      </c>
      <c r="V137" s="103" t="s">
        <v>39</v>
      </c>
    </row>
    <row r="138" spans="2:22" ht="18.75" customHeight="1" x14ac:dyDescent="0.3">
      <c r="B138" s="21" t="s">
        <v>504</v>
      </c>
      <c r="C138" s="101" t="s">
        <v>161</v>
      </c>
      <c r="D138" s="101" t="s">
        <v>39</v>
      </c>
      <c r="E138" s="101" t="s">
        <v>39</v>
      </c>
      <c r="F138" s="102">
        <v>44756</v>
      </c>
      <c r="G138" s="102" t="s">
        <v>39</v>
      </c>
      <c r="H138" s="30">
        <v>44726</v>
      </c>
      <c r="I138" s="28" t="s">
        <v>505</v>
      </c>
      <c r="J138" s="22" t="s">
        <v>34</v>
      </c>
      <c r="K138" s="22" t="s">
        <v>35</v>
      </c>
      <c r="L138" s="101" t="s">
        <v>35</v>
      </c>
      <c r="M138" s="101" t="s">
        <v>39</v>
      </c>
      <c r="N138" s="97">
        <v>85000</v>
      </c>
      <c r="O138" s="97" t="s">
        <v>39</v>
      </c>
      <c r="P138" s="97" t="s">
        <v>39</v>
      </c>
      <c r="Q138" s="23">
        <v>0</v>
      </c>
      <c r="R138" s="22" t="s">
        <v>506</v>
      </c>
      <c r="S138" s="104" t="s">
        <v>499</v>
      </c>
      <c r="T138" s="104" t="s">
        <v>39</v>
      </c>
      <c r="U138" s="101" t="s">
        <v>500</v>
      </c>
      <c r="V138" s="103" t="s">
        <v>39</v>
      </c>
    </row>
    <row r="139" spans="2:22" ht="18.75" customHeight="1" x14ac:dyDescent="0.3">
      <c r="B139" s="21" t="s">
        <v>507</v>
      </c>
      <c r="C139" s="101" t="s">
        <v>161</v>
      </c>
      <c r="D139" s="101" t="s">
        <v>39</v>
      </c>
      <c r="E139" s="101" t="s">
        <v>39</v>
      </c>
      <c r="F139" s="102">
        <v>44726</v>
      </c>
      <c r="G139" s="102" t="s">
        <v>39</v>
      </c>
      <c r="H139" s="30">
        <v>44705</v>
      </c>
      <c r="I139" s="28" t="s">
        <v>508</v>
      </c>
      <c r="J139" s="22" t="s">
        <v>34</v>
      </c>
      <c r="K139" s="22" t="s">
        <v>35</v>
      </c>
      <c r="L139" s="101" t="s">
        <v>35</v>
      </c>
      <c r="M139" s="101" t="s">
        <v>39</v>
      </c>
      <c r="N139" s="97">
        <v>20160</v>
      </c>
      <c r="O139" s="97" t="s">
        <v>39</v>
      </c>
      <c r="P139" s="97" t="s">
        <v>39</v>
      </c>
      <c r="Q139" s="23">
        <v>0</v>
      </c>
      <c r="R139" s="22" t="s">
        <v>509</v>
      </c>
      <c r="S139" s="104" t="s">
        <v>114</v>
      </c>
      <c r="T139" s="104" t="s">
        <v>39</v>
      </c>
      <c r="U139" s="101" t="s">
        <v>115</v>
      </c>
      <c r="V139" s="103" t="s">
        <v>39</v>
      </c>
    </row>
    <row r="140" spans="2:22" ht="18.75" customHeight="1" x14ac:dyDescent="0.3">
      <c r="B140" s="21" t="s">
        <v>510</v>
      </c>
      <c r="C140" s="101" t="s">
        <v>161</v>
      </c>
      <c r="D140" s="101" t="s">
        <v>39</v>
      </c>
      <c r="E140" s="101" t="s">
        <v>39</v>
      </c>
      <c r="F140" s="102">
        <v>44726</v>
      </c>
      <c r="G140" s="102" t="s">
        <v>39</v>
      </c>
      <c r="H140" s="30">
        <v>44705</v>
      </c>
      <c r="I140" s="28" t="s">
        <v>511</v>
      </c>
      <c r="J140" s="22" t="s">
        <v>34</v>
      </c>
      <c r="K140" s="22" t="s">
        <v>35</v>
      </c>
      <c r="L140" s="101" t="s">
        <v>35</v>
      </c>
      <c r="M140" s="101" t="s">
        <v>39</v>
      </c>
      <c r="N140" s="97">
        <v>8960</v>
      </c>
      <c r="O140" s="97" t="s">
        <v>39</v>
      </c>
      <c r="P140" s="97" t="s">
        <v>39</v>
      </c>
      <c r="Q140" s="23">
        <v>0</v>
      </c>
      <c r="R140" s="22" t="s">
        <v>512</v>
      </c>
      <c r="S140" s="104" t="s">
        <v>114</v>
      </c>
      <c r="T140" s="104" t="s">
        <v>39</v>
      </c>
      <c r="U140" s="101" t="s">
        <v>115</v>
      </c>
      <c r="V140" s="103" t="s">
        <v>39</v>
      </c>
    </row>
    <row r="141" spans="2:22" ht="18.75" customHeight="1" x14ac:dyDescent="0.3">
      <c r="B141" s="21" t="s">
        <v>513</v>
      </c>
      <c r="C141" s="101" t="s">
        <v>161</v>
      </c>
      <c r="D141" s="101" t="s">
        <v>39</v>
      </c>
      <c r="E141" s="101" t="s">
        <v>39</v>
      </c>
      <c r="F141" s="102">
        <v>44726</v>
      </c>
      <c r="G141" s="102" t="s">
        <v>39</v>
      </c>
      <c r="H141" s="30">
        <v>44705</v>
      </c>
      <c r="I141" s="28" t="s">
        <v>514</v>
      </c>
      <c r="J141" s="22" t="s">
        <v>34</v>
      </c>
      <c r="K141" s="22" t="s">
        <v>35</v>
      </c>
      <c r="L141" s="101" t="s">
        <v>35</v>
      </c>
      <c r="M141" s="101" t="s">
        <v>39</v>
      </c>
      <c r="N141" s="97">
        <v>15000</v>
      </c>
      <c r="O141" s="97" t="s">
        <v>39</v>
      </c>
      <c r="P141" s="97" t="s">
        <v>39</v>
      </c>
      <c r="Q141" s="23">
        <v>0</v>
      </c>
      <c r="R141" s="22" t="s">
        <v>515</v>
      </c>
      <c r="S141" s="104" t="s">
        <v>114</v>
      </c>
      <c r="T141" s="104" t="s">
        <v>39</v>
      </c>
      <c r="U141" s="101" t="s">
        <v>115</v>
      </c>
      <c r="V141" s="103" t="s">
        <v>39</v>
      </c>
    </row>
    <row r="142" spans="2:22" ht="18.75" customHeight="1" x14ac:dyDescent="0.3">
      <c r="B142" s="21" t="s">
        <v>516</v>
      </c>
      <c r="C142" s="101" t="s">
        <v>161</v>
      </c>
      <c r="D142" s="101" t="s">
        <v>39</v>
      </c>
      <c r="E142" s="101" t="s">
        <v>39</v>
      </c>
      <c r="F142" s="102">
        <v>44726</v>
      </c>
      <c r="G142" s="102" t="s">
        <v>39</v>
      </c>
      <c r="H142" s="30">
        <v>44705</v>
      </c>
      <c r="I142" s="28" t="s">
        <v>517</v>
      </c>
      <c r="J142" s="22" t="s">
        <v>34</v>
      </c>
      <c r="K142" s="22" t="s">
        <v>35</v>
      </c>
      <c r="L142" s="101" t="s">
        <v>35</v>
      </c>
      <c r="M142" s="101" t="s">
        <v>39</v>
      </c>
      <c r="N142" s="97">
        <v>36100</v>
      </c>
      <c r="O142" s="97" t="s">
        <v>39</v>
      </c>
      <c r="P142" s="97" t="s">
        <v>39</v>
      </c>
      <c r="Q142" s="23">
        <v>0</v>
      </c>
      <c r="R142" s="22" t="s">
        <v>518</v>
      </c>
      <c r="S142" s="104" t="s">
        <v>114</v>
      </c>
      <c r="T142" s="104" t="s">
        <v>39</v>
      </c>
      <c r="U142" s="101" t="s">
        <v>115</v>
      </c>
      <c r="V142" s="103" t="s">
        <v>39</v>
      </c>
    </row>
    <row r="143" spans="2:22" ht="18.75" customHeight="1" x14ac:dyDescent="0.3">
      <c r="B143" s="21" t="s">
        <v>519</v>
      </c>
      <c r="C143" s="101" t="s">
        <v>161</v>
      </c>
      <c r="D143" s="101" t="s">
        <v>39</v>
      </c>
      <c r="E143" s="101" t="s">
        <v>39</v>
      </c>
      <c r="F143" s="102">
        <v>44726</v>
      </c>
      <c r="G143" s="102" t="s">
        <v>39</v>
      </c>
      <c r="H143" s="30">
        <v>44697</v>
      </c>
      <c r="I143" s="28" t="s">
        <v>39</v>
      </c>
      <c r="J143" s="22" t="s">
        <v>34</v>
      </c>
      <c r="K143" s="22" t="s">
        <v>35</v>
      </c>
      <c r="L143" s="101" t="s">
        <v>35</v>
      </c>
      <c r="M143" s="101" t="s">
        <v>39</v>
      </c>
      <c r="N143" s="97">
        <v>300</v>
      </c>
      <c r="O143" s="97" t="s">
        <v>39</v>
      </c>
      <c r="P143" s="97" t="s">
        <v>39</v>
      </c>
      <c r="Q143" s="23">
        <v>0</v>
      </c>
      <c r="R143" s="22" t="s">
        <v>191</v>
      </c>
      <c r="S143" s="104" t="s">
        <v>520</v>
      </c>
      <c r="T143" s="104" t="s">
        <v>39</v>
      </c>
      <c r="U143" s="101" t="s">
        <v>193</v>
      </c>
      <c r="V143" s="103" t="s">
        <v>39</v>
      </c>
    </row>
    <row r="144" spans="2:22" ht="18.75" customHeight="1" x14ac:dyDescent="0.3">
      <c r="B144" s="21" t="s">
        <v>521</v>
      </c>
      <c r="C144" s="101" t="s">
        <v>161</v>
      </c>
      <c r="D144" s="101" t="s">
        <v>39</v>
      </c>
      <c r="E144" s="101" t="s">
        <v>39</v>
      </c>
      <c r="F144" s="102">
        <v>44697</v>
      </c>
      <c r="G144" s="102" t="s">
        <v>39</v>
      </c>
      <c r="H144" s="30">
        <v>44681</v>
      </c>
      <c r="I144" s="28" t="s">
        <v>522</v>
      </c>
      <c r="J144" s="22" t="s">
        <v>34</v>
      </c>
      <c r="K144" s="22" t="s">
        <v>35</v>
      </c>
      <c r="L144" s="101" t="s">
        <v>35</v>
      </c>
      <c r="M144" s="101" t="s">
        <v>39</v>
      </c>
      <c r="N144" s="97">
        <v>35000</v>
      </c>
      <c r="O144" s="97" t="s">
        <v>39</v>
      </c>
      <c r="P144" s="97" t="s">
        <v>39</v>
      </c>
      <c r="Q144" s="23">
        <v>0</v>
      </c>
      <c r="R144" s="22" t="s">
        <v>523</v>
      </c>
      <c r="S144" s="104" t="s">
        <v>114</v>
      </c>
      <c r="T144" s="104" t="s">
        <v>39</v>
      </c>
      <c r="U144" s="101" t="s">
        <v>115</v>
      </c>
      <c r="V144" s="103" t="s">
        <v>39</v>
      </c>
    </row>
    <row r="145" spans="2:22" ht="18.75" customHeight="1" x14ac:dyDescent="0.3">
      <c r="B145" s="21" t="s">
        <v>524</v>
      </c>
      <c r="C145" s="101" t="s">
        <v>161</v>
      </c>
      <c r="D145" s="101" t="s">
        <v>39</v>
      </c>
      <c r="E145" s="101" t="s">
        <v>39</v>
      </c>
      <c r="F145" s="102">
        <v>44697</v>
      </c>
      <c r="G145" s="102" t="s">
        <v>39</v>
      </c>
      <c r="H145" s="30">
        <v>44679</v>
      </c>
      <c r="I145" s="28" t="s">
        <v>525</v>
      </c>
      <c r="J145" s="22" t="s">
        <v>34</v>
      </c>
      <c r="K145" s="22" t="s">
        <v>35</v>
      </c>
      <c r="L145" s="101" t="s">
        <v>35</v>
      </c>
      <c r="M145" s="101" t="s">
        <v>39</v>
      </c>
      <c r="N145" s="97">
        <v>29790</v>
      </c>
      <c r="O145" s="97" t="s">
        <v>39</v>
      </c>
      <c r="P145" s="97" t="s">
        <v>39</v>
      </c>
      <c r="Q145" s="23">
        <v>0</v>
      </c>
      <c r="R145" s="22" t="s">
        <v>526</v>
      </c>
      <c r="S145" s="104" t="s">
        <v>114</v>
      </c>
      <c r="T145" s="104" t="s">
        <v>39</v>
      </c>
      <c r="U145" s="101" t="s">
        <v>115</v>
      </c>
      <c r="V145" s="103" t="s">
        <v>39</v>
      </c>
    </row>
    <row r="146" spans="2:22" ht="18.75" customHeight="1" x14ac:dyDescent="0.3">
      <c r="B146" s="21" t="s">
        <v>527</v>
      </c>
      <c r="C146" s="101" t="s">
        <v>161</v>
      </c>
      <c r="D146" s="101" t="s">
        <v>39</v>
      </c>
      <c r="E146" s="101" t="s">
        <v>39</v>
      </c>
      <c r="F146" s="102">
        <v>44697</v>
      </c>
      <c r="G146" s="102" t="s">
        <v>39</v>
      </c>
      <c r="H146" s="30">
        <v>44678</v>
      </c>
      <c r="I146" s="28" t="s">
        <v>528</v>
      </c>
      <c r="J146" s="22" t="s">
        <v>34</v>
      </c>
      <c r="K146" s="22" t="s">
        <v>35</v>
      </c>
      <c r="L146" s="101" t="s">
        <v>35</v>
      </c>
      <c r="M146" s="101" t="s">
        <v>39</v>
      </c>
      <c r="N146" s="97">
        <v>133100</v>
      </c>
      <c r="O146" s="97" t="s">
        <v>39</v>
      </c>
      <c r="P146" s="97" t="s">
        <v>39</v>
      </c>
      <c r="Q146" s="23">
        <v>0</v>
      </c>
      <c r="R146" s="22" t="s">
        <v>529</v>
      </c>
      <c r="S146" s="104" t="s">
        <v>114</v>
      </c>
      <c r="T146" s="104" t="s">
        <v>39</v>
      </c>
      <c r="U146" s="101" t="s">
        <v>115</v>
      </c>
      <c r="V146" s="103" t="s">
        <v>39</v>
      </c>
    </row>
    <row r="147" spans="2:22" ht="18.75" customHeight="1" x14ac:dyDescent="0.3">
      <c r="B147" s="21" t="s">
        <v>530</v>
      </c>
      <c r="C147" s="101" t="s">
        <v>161</v>
      </c>
      <c r="D147" s="101" t="s">
        <v>39</v>
      </c>
      <c r="E147" s="101" t="s">
        <v>39</v>
      </c>
      <c r="F147" s="102">
        <v>44697</v>
      </c>
      <c r="G147" s="102" t="s">
        <v>39</v>
      </c>
      <c r="H147" s="30">
        <v>44666</v>
      </c>
      <c r="I147" s="28" t="s">
        <v>39</v>
      </c>
      <c r="J147" s="22" t="s">
        <v>34</v>
      </c>
      <c r="K147" s="22" t="s">
        <v>35</v>
      </c>
      <c r="L147" s="101" t="s">
        <v>35</v>
      </c>
      <c r="M147" s="101" t="s">
        <v>39</v>
      </c>
      <c r="N147" s="97">
        <v>300</v>
      </c>
      <c r="O147" s="97" t="s">
        <v>39</v>
      </c>
      <c r="P147" s="97" t="s">
        <v>39</v>
      </c>
      <c r="Q147" s="23">
        <v>0</v>
      </c>
      <c r="R147" s="22" t="s">
        <v>191</v>
      </c>
      <c r="S147" s="104" t="s">
        <v>531</v>
      </c>
      <c r="T147" s="104" t="s">
        <v>39</v>
      </c>
      <c r="U147" s="101" t="s">
        <v>193</v>
      </c>
      <c r="V147" s="103" t="s">
        <v>39</v>
      </c>
    </row>
    <row r="148" spans="2:22" ht="18.75" customHeight="1" x14ac:dyDescent="0.3">
      <c r="B148" s="21" t="s">
        <v>532</v>
      </c>
      <c r="C148" s="101" t="s">
        <v>161</v>
      </c>
      <c r="D148" s="101" t="s">
        <v>39</v>
      </c>
      <c r="E148" s="101" t="s">
        <v>39</v>
      </c>
      <c r="F148" s="102">
        <v>44697</v>
      </c>
      <c r="G148" s="102" t="s">
        <v>39</v>
      </c>
      <c r="H148" s="30">
        <v>44660</v>
      </c>
      <c r="I148" s="28" t="s">
        <v>533</v>
      </c>
      <c r="J148" s="22" t="s">
        <v>34</v>
      </c>
      <c r="K148" s="22" t="s">
        <v>35</v>
      </c>
      <c r="L148" s="101" t="s">
        <v>35</v>
      </c>
      <c r="M148" s="101" t="s">
        <v>39</v>
      </c>
      <c r="N148" s="97">
        <v>21450</v>
      </c>
      <c r="O148" s="97" t="s">
        <v>39</v>
      </c>
      <c r="P148" s="97" t="s">
        <v>39</v>
      </c>
      <c r="Q148" s="23">
        <v>0</v>
      </c>
      <c r="R148" s="22" t="s">
        <v>534</v>
      </c>
      <c r="S148" s="104" t="s">
        <v>199</v>
      </c>
      <c r="T148" s="104" t="s">
        <v>39</v>
      </c>
      <c r="U148" s="101" t="s">
        <v>200</v>
      </c>
      <c r="V148" s="103" t="s">
        <v>39</v>
      </c>
    </row>
    <row r="149" spans="2:22" ht="18.75" customHeight="1" x14ac:dyDescent="0.3">
      <c r="B149" s="21" t="s">
        <v>535</v>
      </c>
      <c r="C149" s="101" t="s">
        <v>161</v>
      </c>
      <c r="D149" s="101" t="s">
        <v>39</v>
      </c>
      <c r="E149" s="101" t="s">
        <v>39</v>
      </c>
      <c r="F149" s="102">
        <v>44697</v>
      </c>
      <c r="G149" s="102" t="s">
        <v>39</v>
      </c>
      <c r="H149" s="30">
        <v>44660</v>
      </c>
      <c r="I149" s="28" t="s">
        <v>536</v>
      </c>
      <c r="J149" s="22" t="s">
        <v>34</v>
      </c>
      <c r="K149" s="22" t="s">
        <v>35</v>
      </c>
      <c r="L149" s="101" t="s">
        <v>35</v>
      </c>
      <c r="M149" s="101" t="s">
        <v>39</v>
      </c>
      <c r="N149" s="97">
        <v>5000</v>
      </c>
      <c r="O149" s="97" t="s">
        <v>39</v>
      </c>
      <c r="P149" s="97" t="s">
        <v>39</v>
      </c>
      <c r="Q149" s="23">
        <v>0</v>
      </c>
      <c r="R149" s="22" t="s">
        <v>537</v>
      </c>
      <c r="S149" s="104" t="s">
        <v>199</v>
      </c>
      <c r="T149" s="104" t="s">
        <v>39</v>
      </c>
      <c r="U149" s="101" t="s">
        <v>200</v>
      </c>
      <c r="V149" s="103" t="s">
        <v>39</v>
      </c>
    </row>
    <row r="150" spans="2:22" ht="18.75" customHeight="1" x14ac:dyDescent="0.3">
      <c r="B150" s="21" t="s">
        <v>538</v>
      </c>
      <c r="C150" s="101" t="s">
        <v>161</v>
      </c>
      <c r="D150" s="101" t="s">
        <v>39</v>
      </c>
      <c r="E150" s="101" t="s">
        <v>39</v>
      </c>
      <c r="F150" s="102">
        <v>44697</v>
      </c>
      <c r="G150" s="102" t="s">
        <v>39</v>
      </c>
      <c r="H150" s="30">
        <v>44656</v>
      </c>
      <c r="I150" s="28" t="s">
        <v>539</v>
      </c>
      <c r="J150" s="22" t="s">
        <v>34</v>
      </c>
      <c r="K150" s="22" t="s">
        <v>35</v>
      </c>
      <c r="L150" s="101" t="s">
        <v>35</v>
      </c>
      <c r="M150" s="101" t="s">
        <v>39</v>
      </c>
      <c r="N150" s="97">
        <v>24900</v>
      </c>
      <c r="O150" s="97" t="s">
        <v>39</v>
      </c>
      <c r="P150" s="97" t="s">
        <v>39</v>
      </c>
      <c r="Q150" s="23">
        <v>0</v>
      </c>
      <c r="R150" s="22" t="s">
        <v>540</v>
      </c>
      <c r="S150" s="104" t="s">
        <v>240</v>
      </c>
      <c r="T150" s="104" t="s">
        <v>39</v>
      </c>
      <c r="U150" s="101" t="s">
        <v>241</v>
      </c>
      <c r="V150" s="103" t="s">
        <v>39</v>
      </c>
    </row>
    <row r="151" spans="2:22" ht="18.75" customHeight="1" x14ac:dyDescent="0.3">
      <c r="B151" s="21" t="s">
        <v>541</v>
      </c>
      <c r="C151" s="101" t="s">
        <v>161</v>
      </c>
      <c r="D151" s="101" t="s">
        <v>39</v>
      </c>
      <c r="E151" s="101" t="s">
        <v>39</v>
      </c>
      <c r="F151" s="102">
        <v>44697</v>
      </c>
      <c r="G151" s="102" t="s">
        <v>39</v>
      </c>
      <c r="H151" s="30">
        <v>44654</v>
      </c>
      <c r="I151" s="28" t="s">
        <v>542</v>
      </c>
      <c r="J151" s="22" t="s">
        <v>34</v>
      </c>
      <c r="K151" s="22" t="s">
        <v>35</v>
      </c>
      <c r="L151" s="101" t="s">
        <v>35</v>
      </c>
      <c r="M151" s="101" t="s">
        <v>39</v>
      </c>
      <c r="N151" s="97">
        <v>12000</v>
      </c>
      <c r="O151" s="97" t="s">
        <v>39</v>
      </c>
      <c r="P151" s="97" t="s">
        <v>39</v>
      </c>
      <c r="Q151" s="23">
        <v>0</v>
      </c>
      <c r="R151" s="22" t="s">
        <v>543</v>
      </c>
      <c r="S151" s="104" t="s">
        <v>544</v>
      </c>
      <c r="T151" s="104" t="s">
        <v>39</v>
      </c>
      <c r="U151" s="101" t="s">
        <v>444</v>
      </c>
      <c r="V151" s="103" t="s">
        <v>39</v>
      </c>
    </row>
    <row r="152" spans="2:22" ht="18.75" customHeight="1" x14ac:dyDescent="0.3">
      <c r="B152" s="21" t="s">
        <v>545</v>
      </c>
      <c r="C152" s="101" t="s">
        <v>161</v>
      </c>
      <c r="D152" s="101" t="s">
        <v>39</v>
      </c>
      <c r="E152" s="101" t="s">
        <v>39</v>
      </c>
      <c r="F152" s="102">
        <v>44665</v>
      </c>
      <c r="G152" s="102" t="s">
        <v>39</v>
      </c>
      <c r="H152" s="30">
        <v>44651</v>
      </c>
      <c r="I152" s="28" t="s">
        <v>546</v>
      </c>
      <c r="J152" s="22" t="s">
        <v>34</v>
      </c>
      <c r="K152" s="22" t="s">
        <v>35</v>
      </c>
      <c r="L152" s="101" t="s">
        <v>35</v>
      </c>
      <c r="M152" s="101" t="s">
        <v>39</v>
      </c>
      <c r="N152" s="97">
        <v>46000</v>
      </c>
      <c r="O152" s="97" t="s">
        <v>39</v>
      </c>
      <c r="P152" s="97" t="s">
        <v>39</v>
      </c>
      <c r="Q152" s="23">
        <v>0</v>
      </c>
      <c r="R152" s="22" t="s">
        <v>547</v>
      </c>
      <c r="S152" s="104" t="s">
        <v>548</v>
      </c>
      <c r="T152" s="104" t="s">
        <v>39</v>
      </c>
      <c r="U152" s="101" t="s">
        <v>549</v>
      </c>
      <c r="V152" s="103" t="s">
        <v>39</v>
      </c>
    </row>
    <row r="153" spans="2:22" ht="18.75" customHeight="1" x14ac:dyDescent="0.3">
      <c r="B153" s="21" t="s">
        <v>550</v>
      </c>
      <c r="C153" s="101" t="s">
        <v>161</v>
      </c>
      <c r="D153" s="101" t="s">
        <v>39</v>
      </c>
      <c r="E153" s="101" t="s">
        <v>39</v>
      </c>
      <c r="F153" s="102">
        <v>44665</v>
      </c>
      <c r="G153" s="102" t="s">
        <v>39</v>
      </c>
      <c r="H153" s="30">
        <v>44651</v>
      </c>
      <c r="I153" s="28" t="s">
        <v>551</v>
      </c>
      <c r="J153" s="22" t="s">
        <v>34</v>
      </c>
      <c r="K153" s="22" t="s">
        <v>35</v>
      </c>
      <c r="L153" s="101" t="s">
        <v>35</v>
      </c>
      <c r="M153" s="101" t="s">
        <v>39</v>
      </c>
      <c r="N153" s="97">
        <v>12000</v>
      </c>
      <c r="O153" s="97" t="s">
        <v>39</v>
      </c>
      <c r="P153" s="97" t="s">
        <v>39</v>
      </c>
      <c r="Q153" s="23">
        <v>0</v>
      </c>
      <c r="R153" s="22" t="s">
        <v>552</v>
      </c>
      <c r="S153" s="104" t="s">
        <v>553</v>
      </c>
      <c r="T153" s="104" t="s">
        <v>39</v>
      </c>
      <c r="U153" s="101" t="s">
        <v>554</v>
      </c>
      <c r="V153" s="103" t="s">
        <v>39</v>
      </c>
    </row>
    <row r="154" spans="2:22" ht="18.75" customHeight="1" x14ac:dyDescent="0.3">
      <c r="B154" s="21" t="s">
        <v>555</v>
      </c>
      <c r="C154" s="101" t="s">
        <v>161</v>
      </c>
      <c r="D154" s="101" t="s">
        <v>39</v>
      </c>
      <c r="E154" s="101" t="s">
        <v>39</v>
      </c>
      <c r="F154" s="102">
        <v>44665</v>
      </c>
      <c r="G154" s="102" t="s">
        <v>39</v>
      </c>
      <c r="H154" s="30">
        <v>44651</v>
      </c>
      <c r="I154" s="28" t="s">
        <v>556</v>
      </c>
      <c r="J154" s="22" t="s">
        <v>34</v>
      </c>
      <c r="K154" s="22" t="s">
        <v>35</v>
      </c>
      <c r="L154" s="101" t="s">
        <v>35</v>
      </c>
      <c r="M154" s="101" t="s">
        <v>39</v>
      </c>
      <c r="N154" s="97">
        <v>45000</v>
      </c>
      <c r="O154" s="97" t="s">
        <v>39</v>
      </c>
      <c r="P154" s="97" t="s">
        <v>39</v>
      </c>
      <c r="Q154" s="23">
        <v>0</v>
      </c>
      <c r="R154" s="22" t="s">
        <v>557</v>
      </c>
      <c r="S154" s="104" t="s">
        <v>558</v>
      </c>
      <c r="T154" s="104" t="s">
        <v>39</v>
      </c>
      <c r="U154" s="101" t="s">
        <v>559</v>
      </c>
      <c r="V154" s="103" t="s">
        <v>39</v>
      </c>
    </row>
    <row r="155" spans="2:22" ht="18.75" customHeight="1" x14ac:dyDescent="0.3">
      <c r="B155" s="21" t="s">
        <v>560</v>
      </c>
      <c r="C155" s="101" t="s">
        <v>161</v>
      </c>
      <c r="D155" s="101" t="s">
        <v>39</v>
      </c>
      <c r="E155" s="101" t="s">
        <v>39</v>
      </c>
      <c r="F155" s="102">
        <v>44665</v>
      </c>
      <c r="G155" s="102" t="s">
        <v>39</v>
      </c>
      <c r="H155" s="30">
        <v>44651</v>
      </c>
      <c r="I155" s="28" t="s">
        <v>561</v>
      </c>
      <c r="J155" s="22" t="s">
        <v>34</v>
      </c>
      <c r="K155" s="22" t="s">
        <v>35</v>
      </c>
      <c r="L155" s="101" t="s">
        <v>35</v>
      </c>
      <c r="M155" s="101" t="s">
        <v>39</v>
      </c>
      <c r="N155" s="97">
        <v>14000</v>
      </c>
      <c r="O155" s="97" t="s">
        <v>39</v>
      </c>
      <c r="P155" s="97" t="s">
        <v>39</v>
      </c>
      <c r="Q155" s="23">
        <v>0</v>
      </c>
      <c r="R155" s="22" t="s">
        <v>562</v>
      </c>
      <c r="S155" s="104" t="s">
        <v>563</v>
      </c>
      <c r="T155" s="104" t="s">
        <v>39</v>
      </c>
      <c r="U155" s="101" t="s">
        <v>564</v>
      </c>
      <c r="V155" s="103" t="s">
        <v>39</v>
      </c>
    </row>
    <row r="156" spans="2:22" ht="18.75" customHeight="1" x14ac:dyDescent="0.3">
      <c r="B156" s="21" t="s">
        <v>565</v>
      </c>
      <c r="C156" s="101" t="s">
        <v>161</v>
      </c>
      <c r="D156" s="101" t="s">
        <v>39</v>
      </c>
      <c r="E156" s="101" t="s">
        <v>39</v>
      </c>
      <c r="F156" s="102">
        <v>44665</v>
      </c>
      <c r="G156" s="102" t="s">
        <v>39</v>
      </c>
      <c r="H156" s="30">
        <v>44651</v>
      </c>
      <c r="I156" s="28" t="s">
        <v>566</v>
      </c>
      <c r="J156" s="22" t="s">
        <v>34</v>
      </c>
      <c r="K156" s="22" t="s">
        <v>35</v>
      </c>
      <c r="L156" s="101" t="s">
        <v>35</v>
      </c>
      <c r="M156" s="101" t="s">
        <v>39</v>
      </c>
      <c r="N156" s="97">
        <v>40000</v>
      </c>
      <c r="O156" s="97" t="s">
        <v>39</v>
      </c>
      <c r="P156" s="97" t="s">
        <v>39</v>
      </c>
      <c r="Q156" s="23">
        <v>0</v>
      </c>
      <c r="R156" s="22" t="s">
        <v>567</v>
      </c>
      <c r="S156" s="104" t="s">
        <v>568</v>
      </c>
      <c r="T156" s="104" t="s">
        <v>39</v>
      </c>
      <c r="U156" s="101" t="s">
        <v>569</v>
      </c>
      <c r="V156" s="103" t="s">
        <v>39</v>
      </c>
    </row>
    <row r="157" spans="2:22" ht="18.75" customHeight="1" x14ac:dyDescent="0.3">
      <c r="B157" s="21" t="s">
        <v>570</v>
      </c>
      <c r="C157" s="101" t="s">
        <v>161</v>
      </c>
      <c r="D157" s="101" t="s">
        <v>39</v>
      </c>
      <c r="E157" s="101" t="s">
        <v>39</v>
      </c>
      <c r="F157" s="102">
        <v>44665</v>
      </c>
      <c r="G157" s="102" t="s">
        <v>39</v>
      </c>
      <c r="H157" s="30">
        <v>44649</v>
      </c>
      <c r="I157" s="28" t="s">
        <v>571</v>
      </c>
      <c r="J157" s="22" t="s">
        <v>34</v>
      </c>
      <c r="K157" s="22" t="s">
        <v>35</v>
      </c>
      <c r="L157" s="101" t="s">
        <v>35</v>
      </c>
      <c r="M157" s="101" t="s">
        <v>39</v>
      </c>
      <c r="N157" s="97">
        <v>30510</v>
      </c>
      <c r="O157" s="97" t="s">
        <v>39</v>
      </c>
      <c r="P157" s="97" t="s">
        <v>39</v>
      </c>
      <c r="Q157" s="23">
        <v>0</v>
      </c>
      <c r="R157" s="22" t="s">
        <v>572</v>
      </c>
      <c r="S157" s="104" t="s">
        <v>114</v>
      </c>
      <c r="T157" s="104" t="s">
        <v>39</v>
      </c>
      <c r="U157" s="101" t="s">
        <v>115</v>
      </c>
      <c r="V157" s="103" t="s">
        <v>39</v>
      </c>
    </row>
    <row r="158" spans="2:22" ht="18.75" customHeight="1" x14ac:dyDescent="0.3">
      <c r="B158" s="21" t="s">
        <v>573</v>
      </c>
      <c r="C158" s="101" t="s">
        <v>161</v>
      </c>
      <c r="D158" s="101" t="s">
        <v>39</v>
      </c>
      <c r="E158" s="101" t="s">
        <v>39</v>
      </c>
      <c r="F158" s="102">
        <v>44665</v>
      </c>
      <c r="G158" s="102" t="s">
        <v>39</v>
      </c>
      <c r="H158" s="30">
        <v>44649</v>
      </c>
      <c r="I158" s="28" t="s">
        <v>574</v>
      </c>
      <c r="J158" s="22" t="s">
        <v>34</v>
      </c>
      <c r="K158" s="22" t="s">
        <v>35</v>
      </c>
      <c r="L158" s="101" t="s">
        <v>35</v>
      </c>
      <c r="M158" s="101" t="s">
        <v>39</v>
      </c>
      <c r="N158" s="97">
        <v>59000</v>
      </c>
      <c r="O158" s="97" t="s">
        <v>39</v>
      </c>
      <c r="P158" s="97" t="s">
        <v>39</v>
      </c>
      <c r="Q158" s="23">
        <v>0</v>
      </c>
      <c r="R158" s="22" t="s">
        <v>575</v>
      </c>
      <c r="S158" s="104" t="s">
        <v>114</v>
      </c>
      <c r="T158" s="104" t="s">
        <v>39</v>
      </c>
      <c r="U158" s="101" t="s">
        <v>115</v>
      </c>
      <c r="V158" s="103" t="s">
        <v>39</v>
      </c>
    </row>
    <row r="159" spans="2:22" ht="18.75" customHeight="1" x14ac:dyDescent="0.3">
      <c r="B159" s="21" t="s">
        <v>576</v>
      </c>
      <c r="C159" s="101" t="s">
        <v>161</v>
      </c>
      <c r="D159" s="101" t="s">
        <v>39</v>
      </c>
      <c r="E159" s="101" t="s">
        <v>39</v>
      </c>
      <c r="F159" s="102">
        <v>44665</v>
      </c>
      <c r="G159" s="102" t="s">
        <v>39</v>
      </c>
      <c r="H159" s="30">
        <v>44649</v>
      </c>
      <c r="I159" s="28" t="s">
        <v>577</v>
      </c>
      <c r="J159" s="22" t="s">
        <v>34</v>
      </c>
      <c r="K159" s="22" t="s">
        <v>35</v>
      </c>
      <c r="L159" s="101" t="s">
        <v>35</v>
      </c>
      <c r="M159" s="101" t="s">
        <v>39</v>
      </c>
      <c r="N159" s="97">
        <v>24900</v>
      </c>
      <c r="O159" s="97" t="s">
        <v>39</v>
      </c>
      <c r="P159" s="97" t="s">
        <v>39</v>
      </c>
      <c r="Q159" s="23">
        <v>0</v>
      </c>
      <c r="R159" s="22" t="s">
        <v>578</v>
      </c>
      <c r="S159" s="104" t="s">
        <v>579</v>
      </c>
      <c r="T159" s="104" t="s">
        <v>39</v>
      </c>
      <c r="U159" s="101" t="s">
        <v>580</v>
      </c>
      <c r="V159" s="103" t="s">
        <v>39</v>
      </c>
    </row>
    <row r="160" spans="2:22" ht="18.75" customHeight="1" x14ac:dyDescent="0.3">
      <c r="B160" s="21" t="s">
        <v>581</v>
      </c>
      <c r="C160" s="101" t="s">
        <v>161</v>
      </c>
      <c r="D160" s="101" t="s">
        <v>39</v>
      </c>
      <c r="E160" s="101" t="s">
        <v>39</v>
      </c>
      <c r="F160" s="102">
        <v>44665</v>
      </c>
      <c r="G160" s="102" t="s">
        <v>39</v>
      </c>
      <c r="H160" s="30">
        <v>44649</v>
      </c>
      <c r="I160" s="28" t="s">
        <v>582</v>
      </c>
      <c r="J160" s="22" t="s">
        <v>34</v>
      </c>
      <c r="K160" s="22" t="s">
        <v>35</v>
      </c>
      <c r="L160" s="101" t="s">
        <v>35</v>
      </c>
      <c r="M160" s="101" t="s">
        <v>39</v>
      </c>
      <c r="N160" s="97">
        <v>312000</v>
      </c>
      <c r="O160" s="97" t="s">
        <v>39</v>
      </c>
      <c r="P160" s="97" t="s">
        <v>39</v>
      </c>
      <c r="Q160" s="23">
        <v>0</v>
      </c>
      <c r="R160" s="22" t="s">
        <v>583</v>
      </c>
      <c r="S160" s="104" t="s">
        <v>499</v>
      </c>
      <c r="T160" s="104" t="s">
        <v>39</v>
      </c>
      <c r="U160" s="101" t="s">
        <v>500</v>
      </c>
      <c r="V160" s="103" t="s">
        <v>39</v>
      </c>
    </row>
    <row r="161" spans="2:22" ht="18.75" customHeight="1" x14ac:dyDescent="0.3">
      <c r="B161" s="21" t="s">
        <v>584</v>
      </c>
      <c r="C161" s="101" t="s">
        <v>161</v>
      </c>
      <c r="D161" s="101" t="s">
        <v>39</v>
      </c>
      <c r="E161" s="101" t="s">
        <v>39</v>
      </c>
      <c r="F161" s="102">
        <v>44665</v>
      </c>
      <c r="G161" s="102" t="s">
        <v>39</v>
      </c>
      <c r="H161" s="30">
        <v>44649</v>
      </c>
      <c r="I161" s="28" t="s">
        <v>585</v>
      </c>
      <c r="J161" s="22" t="s">
        <v>34</v>
      </c>
      <c r="K161" s="22" t="s">
        <v>35</v>
      </c>
      <c r="L161" s="101" t="s">
        <v>35</v>
      </c>
      <c r="M161" s="101" t="s">
        <v>39</v>
      </c>
      <c r="N161" s="97">
        <v>78620</v>
      </c>
      <c r="O161" s="97" t="s">
        <v>39</v>
      </c>
      <c r="P161" s="97" t="s">
        <v>39</v>
      </c>
      <c r="Q161" s="23">
        <v>0</v>
      </c>
      <c r="R161" s="22" t="s">
        <v>586</v>
      </c>
      <c r="S161" s="104" t="s">
        <v>114</v>
      </c>
      <c r="T161" s="104" t="s">
        <v>39</v>
      </c>
      <c r="U161" s="101" t="s">
        <v>115</v>
      </c>
      <c r="V161" s="103" t="s">
        <v>39</v>
      </c>
    </row>
    <row r="162" spans="2:22" ht="18.75" customHeight="1" x14ac:dyDescent="0.3">
      <c r="B162" s="21" t="s">
        <v>587</v>
      </c>
      <c r="C162" s="101" t="s">
        <v>161</v>
      </c>
      <c r="D162" s="101" t="s">
        <v>39</v>
      </c>
      <c r="E162" s="101" t="s">
        <v>39</v>
      </c>
      <c r="F162" s="102">
        <v>44665</v>
      </c>
      <c r="G162" s="102" t="s">
        <v>39</v>
      </c>
      <c r="H162" s="30">
        <v>44649</v>
      </c>
      <c r="I162" s="28" t="s">
        <v>588</v>
      </c>
      <c r="J162" s="22" t="s">
        <v>34</v>
      </c>
      <c r="K162" s="22" t="s">
        <v>35</v>
      </c>
      <c r="L162" s="101" t="s">
        <v>35</v>
      </c>
      <c r="M162" s="101" t="s">
        <v>39</v>
      </c>
      <c r="N162" s="97">
        <v>10000</v>
      </c>
      <c r="O162" s="97" t="s">
        <v>39</v>
      </c>
      <c r="P162" s="97" t="s">
        <v>39</v>
      </c>
      <c r="Q162" s="23">
        <v>0</v>
      </c>
      <c r="R162" s="22" t="s">
        <v>589</v>
      </c>
      <c r="S162" s="104" t="s">
        <v>142</v>
      </c>
      <c r="T162" s="104" t="s">
        <v>39</v>
      </c>
      <c r="U162" s="101" t="s">
        <v>143</v>
      </c>
      <c r="V162" s="103" t="s">
        <v>39</v>
      </c>
    </row>
    <row r="163" spans="2:22" ht="18.75" customHeight="1" x14ac:dyDescent="0.3">
      <c r="B163" s="21" t="s">
        <v>590</v>
      </c>
      <c r="C163" s="101" t="s">
        <v>161</v>
      </c>
      <c r="D163" s="101" t="s">
        <v>39</v>
      </c>
      <c r="E163" s="101" t="s">
        <v>39</v>
      </c>
      <c r="F163" s="102">
        <v>44665</v>
      </c>
      <c r="G163" s="102" t="s">
        <v>39</v>
      </c>
      <c r="H163" s="30">
        <v>44648</v>
      </c>
      <c r="I163" s="28" t="s">
        <v>591</v>
      </c>
      <c r="J163" s="22" t="s">
        <v>34</v>
      </c>
      <c r="K163" s="22" t="s">
        <v>35</v>
      </c>
      <c r="L163" s="101" t="s">
        <v>35</v>
      </c>
      <c r="M163" s="101" t="s">
        <v>39</v>
      </c>
      <c r="N163" s="97">
        <v>167580</v>
      </c>
      <c r="O163" s="97" t="s">
        <v>39</v>
      </c>
      <c r="P163" s="97" t="s">
        <v>39</v>
      </c>
      <c r="Q163" s="23">
        <v>0</v>
      </c>
      <c r="R163" s="22" t="s">
        <v>592</v>
      </c>
      <c r="S163" s="104" t="s">
        <v>114</v>
      </c>
      <c r="T163" s="104" t="s">
        <v>39</v>
      </c>
      <c r="U163" s="101" t="s">
        <v>115</v>
      </c>
      <c r="V163" s="103" t="s">
        <v>39</v>
      </c>
    </row>
    <row r="164" spans="2:22" ht="18.75" customHeight="1" x14ac:dyDescent="0.3">
      <c r="B164" s="21" t="s">
        <v>593</v>
      </c>
      <c r="C164" s="101" t="s">
        <v>161</v>
      </c>
      <c r="D164" s="101" t="s">
        <v>39</v>
      </c>
      <c r="E164" s="101" t="s">
        <v>39</v>
      </c>
      <c r="F164" s="102">
        <v>44665</v>
      </c>
      <c r="G164" s="102" t="s">
        <v>39</v>
      </c>
      <c r="H164" s="30">
        <v>44635</v>
      </c>
      <c r="I164" s="28" t="s">
        <v>594</v>
      </c>
      <c r="J164" s="22" t="s">
        <v>34</v>
      </c>
      <c r="K164" s="22" t="s">
        <v>35</v>
      </c>
      <c r="L164" s="101" t="s">
        <v>35</v>
      </c>
      <c r="M164" s="101" t="s">
        <v>39</v>
      </c>
      <c r="N164" s="97">
        <v>18340</v>
      </c>
      <c r="O164" s="97" t="s">
        <v>39</v>
      </c>
      <c r="P164" s="97" t="s">
        <v>39</v>
      </c>
      <c r="Q164" s="23">
        <v>0</v>
      </c>
      <c r="R164" s="22" t="s">
        <v>595</v>
      </c>
      <c r="S164" s="104" t="s">
        <v>114</v>
      </c>
      <c r="T164" s="104" t="s">
        <v>39</v>
      </c>
      <c r="U164" s="101" t="s">
        <v>115</v>
      </c>
      <c r="V164" s="103" t="s">
        <v>39</v>
      </c>
    </row>
    <row r="165" spans="2:22" ht="18.75" customHeight="1" x14ac:dyDescent="0.3">
      <c r="B165" s="21" t="s">
        <v>596</v>
      </c>
      <c r="C165" s="101" t="s">
        <v>161</v>
      </c>
      <c r="D165" s="101" t="s">
        <v>39</v>
      </c>
      <c r="E165" s="101" t="s">
        <v>39</v>
      </c>
      <c r="F165" s="102">
        <v>44665</v>
      </c>
      <c r="G165" s="102" t="s">
        <v>39</v>
      </c>
      <c r="H165" s="30">
        <v>44627</v>
      </c>
      <c r="I165" s="28" t="s">
        <v>597</v>
      </c>
      <c r="J165" s="22" t="s">
        <v>34</v>
      </c>
      <c r="K165" s="22" t="s">
        <v>35</v>
      </c>
      <c r="L165" s="101" t="s">
        <v>35</v>
      </c>
      <c r="M165" s="101" t="s">
        <v>39</v>
      </c>
      <c r="N165" s="97">
        <v>49900</v>
      </c>
      <c r="O165" s="97" t="s">
        <v>39</v>
      </c>
      <c r="P165" s="97" t="s">
        <v>39</v>
      </c>
      <c r="Q165" s="23">
        <v>0</v>
      </c>
      <c r="R165" s="22" t="s">
        <v>598</v>
      </c>
      <c r="S165" s="104" t="s">
        <v>204</v>
      </c>
      <c r="T165" s="104" t="s">
        <v>39</v>
      </c>
      <c r="U165" s="101" t="s">
        <v>205</v>
      </c>
      <c r="V165" s="103" t="s">
        <v>39</v>
      </c>
    </row>
    <row r="166" spans="2:22" ht="18.75" customHeight="1" x14ac:dyDescent="0.3">
      <c r="B166" s="21" t="s">
        <v>599</v>
      </c>
      <c r="C166" s="101" t="s">
        <v>161</v>
      </c>
      <c r="D166" s="101" t="s">
        <v>39</v>
      </c>
      <c r="E166" s="101" t="s">
        <v>39</v>
      </c>
      <c r="F166" s="102">
        <v>44665</v>
      </c>
      <c r="G166" s="102" t="s">
        <v>39</v>
      </c>
      <c r="H166" s="30">
        <v>44624</v>
      </c>
      <c r="I166" s="28" t="s">
        <v>600</v>
      </c>
      <c r="J166" s="22" t="s">
        <v>34</v>
      </c>
      <c r="K166" s="22" t="s">
        <v>35</v>
      </c>
      <c r="L166" s="101" t="s">
        <v>35</v>
      </c>
      <c r="M166" s="101" t="s">
        <v>39</v>
      </c>
      <c r="N166" s="97">
        <v>750</v>
      </c>
      <c r="O166" s="97" t="s">
        <v>39</v>
      </c>
      <c r="P166" s="97" t="s">
        <v>39</v>
      </c>
      <c r="Q166" s="23">
        <v>0</v>
      </c>
      <c r="R166" s="22" t="s">
        <v>601</v>
      </c>
      <c r="S166" s="104" t="s">
        <v>114</v>
      </c>
      <c r="T166" s="104" t="s">
        <v>39</v>
      </c>
      <c r="U166" s="101" t="s">
        <v>115</v>
      </c>
      <c r="V166" s="103" t="s">
        <v>39</v>
      </c>
    </row>
    <row r="167" spans="2:22" ht="18.75" customHeight="1" x14ac:dyDescent="0.3">
      <c r="B167" s="21" t="s">
        <v>602</v>
      </c>
      <c r="C167" s="101" t="s">
        <v>161</v>
      </c>
      <c r="D167" s="101" t="s">
        <v>39</v>
      </c>
      <c r="E167" s="101" t="s">
        <v>39</v>
      </c>
      <c r="F167" s="102">
        <v>44665</v>
      </c>
      <c r="G167" s="102" t="s">
        <v>39</v>
      </c>
      <c r="H167" s="30">
        <v>44624</v>
      </c>
      <c r="I167" s="28" t="s">
        <v>603</v>
      </c>
      <c r="J167" s="22" t="s">
        <v>34</v>
      </c>
      <c r="K167" s="22" t="s">
        <v>35</v>
      </c>
      <c r="L167" s="101" t="s">
        <v>35</v>
      </c>
      <c r="M167" s="101" t="s">
        <v>39</v>
      </c>
      <c r="N167" s="97">
        <v>73820</v>
      </c>
      <c r="O167" s="97" t="s">
        <v>39</v>
      </c>
      <c r="P167" s="97" t="s">
        <v>39</v>
      </c>
      <c r="Q167" s="23">
        <v>0</v>
      </c>
      <c r="R167" s="22" t="s">
        <v>604</v>
      </c>
      <c r="S167" s="104" t="s">
        <v>114</v>
      </c>
      <c r="T167" s="104" t="s">
        <v>39</v>
      </c>
      <c r="U167" s="101" t="s">
        <v>115</v>
      </c>
      <c r="V167" s="103" t="s">
        <v>39</v>
      </c>
    </row>
    <row r="168" spans="2:22" ht="18.75" customHeight="1" x14ac:dyDescent="0.3">
      <c r="B168" s="21" t="s">
        <v>605</v>
      </c>
      <c r="C168" s="101" t="s">
        <v>161</v>
      </c>
      <c r="D168" s="101" t="s">
        <v>39</v>
      </c>
      <c r="E168" s="101" t="s">
        <v>39</v>
      </c>
      <c r="F168" s="102">
        <v>44665</v>
      </c>
      <c r="G168" s="102" t="s">
        <v>39</v>
      </c>
      <c r="H168" s="30">
        <v>44622</v>
      </c>
      <c r="I168" s="28" t="s">
        <v>606</v>
      </c>
      <c r="J168" s="22" t="s">
        <v>34</v>
      </c>
      <c r="K168" s="22" t="s">
        <v>35</v>
      </c>
      <c r="L168" s="101" t="s">
        <v>35</v>
      </c>
      <c r="M168" s="101" t="s">
        <v>39</v>
      </c>
      <c r="N168" s="97">
        <v>50200</v>
      </c>
      <c r="O168" s="97" t="s">
        <v>39</v>
      </c>
      <c r="P168" s="97" t="s">
        <v>39</v>
      </c>
      <c r="Q168" s="23">
        <v>0</v>
      </c>
      <c r="R168" s="22" t="s">
        <v>607</v>
      </c>
      <c r="S168" s="104" t="s">
        <v>608</v>
      </c>
      <c r="T168" s="104" t="s">
        <v>39</v>
      </c>
      <c r="U168" s="101" t="s">
        <v>148</v>
      </c>
      <c r="V168" s="103" t="s">
        <v>39</v>
      </c>
    </row>
    <row r="169" spans="2:22" ht="18.75" customHeight="1" thickBot="1" x14ac:dyDescent="0.35">
      <c r="B169" s="24" t="s">
        <v>609</v>
      </c>
      <c r="C169" s="122" t="s">
        <v>161</v>
      </c>
      <c r="D169" s="122"/>
      <c r="E169" s="122"/>
      <c r="F169" s="124">
        <v>44665</v>
      </c>
      <c r="G169" s="124"/>
      <c r="H169" s="31">
        <v>44621</v>
      </c>
      <c r="I169" s="29" t="s">
        <v>610</v>
      </c>
      <c r="J169" s="25" t="s">
        <v>34</v>
      </c>
      <c r="K169" s="25" t="s">
        <v>35</v>
      </c>
      <c r="L169" s="122" t="s">
        <v>35</v>
      </c>
      <c r="M169" s="122"/>
      <c r="N169" s="125">
        <v>98000</v>
      </c>
      <c r="O169" s="125"/>
      <c r="P169" s="125"/>
      <c r="Q169" s="26">
        <v>0</v>
      </c>
      <c r="R169" s="25" t="s">
        <v>611</v>
      </c>
      <c r="S169" s="121" t="s">
        <v>608</v>
      </c>
      <c r="T169" s="121"/>
      <c r="U169" s="122" t="s">
        <v>148</v>
      </c>
      <c r="V169" s="123"/>
    </row>
    <row r="171" spans="2:22" x14ac:dyDescent="0.3">
      <c r="B171" s="7" t="s">
        <v>21</v>
      </c>
      <c r="G171" s="8"/>
      <c r="H171" s="8"/>
      <c r="I171" s="8"/>
      <c r="P171" s="9"/>
      <c r="R171" s="10"/>
      <c r="S171" s="11"/>
      <c r="T171" s="11"/>
      <c r="U171" s="10"/>
      <c r="V171" s="10"/>
    </row>
    <row r="172" spans="2:22" x14ac:dyDescent="0.3">
      <c r="B172" s="7" t="s">
        <v>22</v>
      </c>
      <c r="G172" s="8"/>
      <c r="H172" s="8"/>
      <c r="I172" s="8"/>
      <c r="P172" s="9"/>
      <c r="R172" s="10"/>
      <c r="S172" s="11"/>
      <c r="T172" s="11"/>
      <c r="U172" s="10"/>
      <c r="V172" s="10"/>
    </row>
    <row r="173" spans="2:22" x14ac:dyDescent="0.3">
      <c r="B173" s="7" t="s">
        <v>9</v>
      </c>
      <c r="G173" s="8"/>
      <c r="H173" s="8"/>
      <c r="I173" s="8"/>
      <c r="P173" s="9"/>
      <c r="R173" s="10"/>
      <c r="S173" s="11"/>
      <c r="T173" s="11"/>
      <c r="U173" s="10"/>
      <c r="V173" s="10"/>
    </row>
    <row r="174" spans="2:22" x14ac:dyDescent="0.3">
      <c r="C174" s="12"/>
      <c r="D174" s="12"/>
      <c r="E174" s="12"/>
      <c r="F174" s="12"/>
    </row>
    <row r="178" spans="2:22" x14ac:dyDescent="0.3">
      <c r="G178" s="1"/>
      <c r="H178" s="1"/>
      <c r="I178" s="1"/>
      <c r="P178" s="1"/>
      <c r="R178" s="1"/>
      <c r="U178" s="13"/>
      <c r="V178" s="13"/>
    </row>
    <row r="179" spans="2:22" x14ac:dyDescent="0.3">
      <c r="G179" s="1"/>
      <c r="H179" s="1"/>
      <c r="I179" s="1"/>
      <c r="P179" s="1"/>
      <c r="R179" s="1"/>
    </row>
    <row r="180" spans="2:22" ht="32.25" x14ac:dyDescent="0.3"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20" t="s">
        <v>20</v>
      </c>
      <c r="R180" s="120"/>
      <c r="S180" s="120"/>
      <c r="T180" s="120"/>
      <c r="U180" s="120"/>
      <c r="V180" s="120"/>
    </row>
    <row r="181" spans="2:22" ht="19.5" x14ac:dyDescent="0.3"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19" t="s">
        <v>18</v>
      </c>
      <c r="O181" s="119"/>
      <c r="P181" s="119"/>
      <c r="Q181" s="119"/>
      <c r="R181" s="119"/>
      <c r="S181" s="119"/>
      <c r="T181" s="119"/>
      <c r="U181" s="119"/>
      <c r="V181" s="119"/>
    </row>
    <row r="182" spans="2:22" x14ac:dyDescent="0.3"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6"/>
      <c r="T182" s="16"/>
      <c r="U182" s="15"/>
      <c r="V182" s="15"/>
    </row>
  </sheetData>
  <mergeCells count="959">
    <mergeCell ref="N181:V181"/>
    <mergeCell ref="Q180:V180"/>
    <mergeCell ref="C168:E168"/>
    <mergeCell ref="N168:P168"/>
    <mergeCell ref="F168:G168"/>
    <mergeCell ref="U168:V168"/>
    <mergeCell ref="S168:T168"/>
    <mergeCell ref="L168:M168"/>
    <mergeCell ref="S169:T169"/>
    <mergeCell ref="U169:V169"/>
    <mergeCell ref="C169:E169"/>
    <mergeCell ref="F169:G169"/>
    <mergeCell ref="L169:M169"/>
    <mergeCell ref="N169:P169"/>
    <mergeCell ref="C167:E167"/>
    <mergeCell ref="N167:P167"/>
    <mergeCell ref="F167:G167"/>
    <mergeCell ref="U167:V167"/>
    <mergeCell ref="S167:T167"/>
    <mergeCell ref="L167:M167"/>
    <mergeCell ref="C166:E166"/>
    <mergeCell ref="N166:P166"/>
    <mergeCell ref="F166:G166"/>
    <mergeCell ref="U166:V166"/>
    <mergeCell ref="S166:T166"/>
    <mergeCell ref="L166:M166"/>
    <mergeCell ref="C165:E165"/>
    <mergeCell ref="N165:P165"/>
    <mergeCell ref="F165:G165"/>
    <mergeCell ref="U165:V165"/>
    <mergeCell ref="S165:T165"/>
    <mergeCell ref="L165:M165"/>
    <mergeCell ref="C164:E164"/>
    <mergeCell ref="N164:P164"/>
    <mergeCell ref="F164:G164"/>
    <mergeCell ref="U164:V164"/>
    <mergeCell ref="S164:T164"/>
    <mergeCell ref="L164:M164"/>
    <mergeCell ref="C163:E163"/>
    <mergeCell ref="N163:P163"/>
    <mergeCell ref="F163:G163"/>
    <mergeCell ref="U163:V163"/>
    <mergeCell ref="S163:T163"/>
    <mergeCell ref="L163:M163"/>
    <mergeCell ref="C162:E162"/>
    <mergeCell ref="N162:P162"/>
    <mergeCell ref="F162:G162"/>
    <mergeCell ref="U162:V162"/>
    <mergeCell ref="S162:T162"/>
    <mergeCell ref="L162:M162"/>
    <mergeCell ref="C161:E161"/>
    <mergeCell ref="N161:P161"/>
    <mergeCell ref="F161:G161"/>
    <mergeCell ref="U161:V161"/>
    <mergeCell ref="S161:T161"/>
    <mergeCell ref="L161:M161"/>
    <mergeCell ref="C160:E160"/>
    <mergeCell ref="N160:P160"/>
    <mergeCell ref="F160:G160"/>
    <mergeCell ref="U160:V160"/>
    <mergeCell ref="S160:T160"/>
    <mergeCell ref="L160:M160"/>
    <mergeCell ref="C159:E159"/>
    <mergeCell ref="N159:P159"/>
    <mergeCell ref="F159:G159"/>
    <mergeCell ref="U159:V159"/>
    <mergeCell ref="S159:T159"/>
    <mergeCell ref="L159:M159"/>
    <mergeCell ref="C158:E158"/>
    <mergeCell ref="N158:P158"/>
    <mergeCell ref="F158:G158"/>
    <mergeCell ref="U158:V158"/>
    <mergeCell ref="S158:T158"/>
    <mergeCell ref="L158:M158"/>
    <mergeCell ref="C157:E157"/>
    <mergeCell ref="N157:P157"/>
    <mergeCell ref="F157:G157"/>
    <mergeCell ref="U157:V157"/>
    <mergeCell ref="S157:T157"/>
    <mergeCell ref="L157:M157"/>
    <mergeCell ref="C156:E156"/>
    <mergeCell ref="N156:P156"/>
    <mergeCell ref="F156:G156"/>
    <mergeCell ref="U156:V156"/>
    <mergeCell ref="S156:T156"/>
    <mergeCell ref="L156:M156"/>
    <mergeCell ref="C155:E155"/>
    <mergeCell ref="N155:P155"/>
    <mergeCell ref="F155:G155"/>
    <mergeCell ref="U155:V155"/>
    <mergeCell ref="S155:T155"/>
    <mergeCell ref="L155:M155"/>
    <mergeCell ref="C154:E154"/>
    <mergeCell ref="N154:P154"/>
    <mergeCell ref="F154:G154"/>
    <mergeCell ref="U154:V154"/>
    <mergeCell ref="S154:T154"/>
    <mergeCell ref="L154:M154"/>
    <mergeCell ref="C153:E153"/>
    <mergeCell ref="N153:P153"/>
    <mergeCell ref="F153:G153"/>
    <mergeCell ref="U153:V153"/>
    <mergeCell ref="S153:T153"/>
    <mergeCell ref="L153:M153"/>
    <mergeCell ref="C152:E152"/>
    <mergeCell ref="N152:P152"/>
    <mergeCell ref="F152:G152"/>
    <mergeCell ref="U152:V152"/>
    <mergeCell ref="S152:T152"/>
    <mergeCell ref="L152:M152"/>
    <mergeCell ref="C151:E151"/>
    <mergeCell ref="N151:P151"/>
    <mergeCell ref="F151:G151"/>
    <mergeCell ref="U151:V151"/>
    <mergeCell ref="S151:T151"/>
    <mergeCell ref="L151:M151"/>
    <mergeCell ref="C150:E150"/>
    <mergeCell ref="N150:P150"/>
    <mergeCell ref="F150:G150"/>
    <mergeCell ref="U150:V150"/>
    <mergeCell ref="S150:T150"/>
    <mergeCell ref="L150:M150"/>
    <mergeCell ref="C149:E149"/>
    <mergeCell ref="N149:P149"/>
    <mergeCell ref="F149:G149"/>
    <mergeCell ref="U149:V149"/>
    <mergeCell ref="S149:T149"/>
    <mergeCell ref="L149:M149"/>
    <mergeCell ref="C148:E148"/>
    <mergeCell ref="N148:P148"/>
    <mergeCell ref="F148:G148"/>
    <mergeCell ref="U148:V148"/>
    <mergeCell ref="S148:T148"/>
    <mergeCell ref="L148:M148"/>
    <mergeCell ref="C147:E147"/>
    <mergeCell ref="N147:P147"/>
    <mergeCell ref="F147:G147"/>
    <mergeCell ref="U147:V147"/>
    <mergeCell ref="S147:T147"/>
    <mergeCell ref="L147:M147"/>
    <mergeCell ref="C146:E146"/>
    <mergeCell ref="N146:P146"/>
    <mergeCell ref="F146:G146"/>
    <mergeCell ref="U146:V146"/>
    <mergeCell ref="S146:T146"/>
    <mergeCell ref="L146:M146"/>
    <mergeCell ref="C145:E145"/>
    <mergeCell ref="N145:P145"/>
    <mergeCell ref="F145:G145"/>
    <mergeCell ref="U145:V145"/>
    <mergeCell ref="S145:T145"/>
    <mergeCell ref="L145:M145"/>
    <mergeCell ref="C144:E144"/>
    <mergeCell ref="N144:P144"/>
    <mergeCell ref="F144:G144"/>
    <mergeCell ref="U144:V144"/>
    <mergeCell ref="S144:T144"/>
    <mergeCell ref="L144:M144"/>
    <mergeCell ref="C143:E143"/>
    <mergeCell ref="N143:P143"/>
    <mergeCell ref="F143:G143"/>
    <mergeCell ref="U143:V143"/>
    <mergeCell ref="S143:T143"/>
    <mergeCell ref="L143:M143"/>
    <mergeCell ref="C142:E142"/>
    <mergeCell ref="N142:P142"/>
    <mergeCell ref="F142:G142"/>
    <mergeCell ref="U142:V142"/>
    <mergeCell ref="S142:T142"/>
    <mergeCell ref="L142:M142"/>
    <mergeCell ref="C141:E141"/>
    <mergeCell ref="N141:P141"/>
    <mergeCell ref="F141:G141"/>
    <mergeCell ref="U141:V141"/>
    <mergeCell ref="S141:T141"/>
    <mergeCell ref="L141:M141"/>
    <mergeCell ref="C140:E140"/>
    <mergeCell ref="N140:P140"/>
    <mergeCell ref="F140:G140"/>
    <mergeCell ref="U140:V140"/>
    <mergeCell ref="S140:T140"/>
    <mergeCell ref="L140:M140"/>
    <mergeCell ref="C139:E139"/>
    <mergeCell ref="N139:P139"/>
    <mergeCell ref="F139:G139"/>
    <mergeCell ref="U139:V139"/>
    <mergeCell ref="S139:T139"/>
    <mergeCell ref="L139:M139"/>
    <mergeCell ref="C138:E138"/>
    <mergeCell ref="N138:P138"/>
    <mergeCell ref="F138:G138"/>
    <mergeCell ref="U138:V138"/>
    <mergeCell ref="S138:T138"/>
    <mergeCell ref="L138:M138"/>
    <mergeCell ref="C137:E137"/>
    <mergeCell ref="N137:P137"/>
    <mergeCell ref="F137:G137"/>
    <mergeCell ref="U137:V137"/>
    <mergeCell ref="S137:T137"/>
    <mergeCell ref="L137:M137"/>
    <mergeCell ref="C136:E136"/>
    <mergeCell ref="N136:P136"/>
    <mergeCell ref="F136:G136"/>
    <mergeCell ref="U136:V136"/>
    <mergeCell ref="S136:T136"/>
    <mergeCell ref="L136:M136"/>
    <mergeCell ref="C135:E135"/>
    <mergeCell ref="N135:P135"/>
    <mergeCell ref="F135:G135"/>
    <mergeCell ref="U135:V135"/>
    <mergeCell ref="S135:T135"/>
    <mergeCell ref="L135:M135"/>
    <mergeCell ref="C134:E134"/>
    <mergeCell ref="N134:P134"/>
    <mergeCell ref="F134:G134"/>
    <mergeCell ref="U134:V134"/>
    <mergeCell ref="S134:T134"/>
    <mergeCell ref="L134:M134"/>
    <mergeCell ref="C133:E133"/>
    <mergeCell ref="N133:P133"/>
    <mergeCell ref="F133:G133"/>
    <mergeCell ref="U133:V133"/>
    <mergeCell ref="S133:T133"/>
    <mergeCell ref="L133:M133"/>
    <mergeCell ref="C132:E132"/>
    <mergeCell ref="N132:P132"/>
    <mergeCell ref="F132:G132"/>
    <mergeCell ref="U132:V132"/>
    <mergeCell ref="S132:T132"/>
    <mergeCell ref="L132:M132"/>
    <mergeCell ref="C131:E131"/>
    <mergeCell ref="N131:P131"/>
    <mergeCell ref="F131:G131"/>
    <mergeCell ref="U131:V131"/>
    <mergeCell ref="S131:T131"/>
    <mergeCell ref="L131:M131"/>
    <mergeCell ref="C130:E130"/>
    <mergeCell ref="N130:P130"/>
    <mergeCell ref="F130:G130"/>
    <mergeCell ref="U130:V130"/>
    <mergeCell ref="S130:T130"/>
    <mergeCell ref="L130:M130"/>
    <mergeCell ref="C129:E129"/>
    <mergeCell ref="N129:P129"/>
    <mergeCell ref="F129:G129"/>
    <mergeCell ref="U129:V129"/>
    <mergeCell ref="S129:T129"/>
    <mergeCell ref="L129:M129"/>
    <mergeCell ref="C128:E128"/>
    <mergeCell ref="N128:P128"/>
    <mergeCell ref="F128:G128"/>
    <mergeCell ref="U128:V128"/>
    <mergeCell ref="S128:T128"/>
    <mergeCell ref="L128:M128"/>
    <mergeCell ref="C127:E127"/>
    <mergeCell ref="N127:P127"/>
    <mergeCell ref="F127:G127"/>
    <mergeCell ref="U127:V127"/>
    <mergeCell ref="S127:T127"/>
    <mergeCell ref="L127:M127"/>
    <mergeCell ref="C126:E126"/>
    <mergeCell ref="N126:P126"/>
    <mergeCell ref="F126:G126"/>
    <mergeCell ref="U126:V126"/>
    <mergeCell ref="S126:T126"/>
    <mergeCell ref="L126:M126"/>
    <mergeCell ref="C125:E125"/>
    <mergeCell ref="N125:P125"/>
    <mergeCell ref="F125:G125"/>
    <mergeCell ref="U125:V125"/>
    <mergeCell ref="S125:T125"/>
    <mergeCell ref="L125:M125"/>
    <mergeCell ref="C124:E124"/>
    <mergeCell ref="N124:P124"/>
    <mergeCell ref="F124:G124"/>
    <mergeCell ref="U124:V124"/>
    <mergeCell ref="S124:T124"/>
    <mergeCell ref="L124:M124"/>
    <mergeCell ref="C123:E123"/>
    <mergeCell ref="N123:P123"/>
    <mergeCell ref="F123:G123"/>
    <mergeCell ref="U123:V123"/>
    <mergeCell ref="S123:T123"/>
    <mergeCell ref="L123:M123"/>
    <mergeCell ref="C122:E122"/>
    <mergeCell ref="N122:P122"/>
    <mergeCell ref="F122:G122"/>
    <mergeCell ref="U122:V122"/>
    <mergeCell ref="S122:T122"/>
    <mergeCell ref="L122:M122"/>
    <mergeCell ref="C121:E121"/>
    <mergeCell ref="N121:P121"/>
    <mergeCell ref="F121:G121"/>
    <mergeCell ref="U121:V121"/>
    <mergeCell ref="S121:T121"/>
    <mergeCell ref="L121:M121"/>
    <mergeCell ref="C120:E120"/>
    <mergeCell ref="N120:P120"/>
    <mergeCell ref="F120:G120"/>
    <mergeCell ref="U120:V120"/>
    <mergeCell ref="S120:T120"/>
    <mergeCell ref="L120:M120"/>
    <mergeCell ref="C119:E119"/>
    <mergeCell ref="N119:P119"/>
    <mergeCell ref="F119:G119"/>
    <mergeCell ref="U119:V119"/>
    <mergeCell ref="S119:T119"/>
    <mergeCell ref="L119:M119"/>
    <mergeCell ref="C118:E118"/>
    <mergeCell ref="N118:P118"/>
    <mergeCell ref="F118:G118"/>
    <mergeCell ref="U118:V118"/>
    <mergeCell ref="S118:T118"/>
    <mergeCell ref="L118:M118"/>
    <mergeCell ref="C117:E117"/>
    <mergeCell ref="N117:P117"/>
    <mergeCell ref="F117:G117"/>
    <mergeCell ref="U117:V117"/>
    <mergeCell ref="S117:T117"/>
    <mergeCell ref="L117:M117"/>
    <mergeCell ref="C116:E116"/>
    <mergeCell ref="N116:P116"/>
    <mergeCell ref="F116:G116"/>
    <mergeCell ref="U116:V116"/>
    <mergeCell ref="S116:T116"/>
    <mergeCell ref="L116:M116"/>
    <mergeCell ref="C115:E115"/>
    <mergeCell ref="N115:P115"/>
    <mergeCell ref="F115:G115"/>
    <mergeCell ref="U115:V115"/>
    <mergeCell ref="S115:T115"/>
    <mergeCell ref="L115:M115"/>
    <mergeCell ref="C114:E114"/>
    <mergeCell ref="N114:P114"/>
    <mergeCell ref="F114:G114"/>
    <mergeCell ref="U114:V114"/>
    <mergeCell ref="S114:T114"/>
    <mergeCell ref="L114:M114"/>
    <mergeCell ref="C113:E113"/>
    <mergeCell ref="N113:P113"/>
    <mergeCell ref="F113:G113"/>
    <mergeCell ref="U113:V113"/>
    <mergeCell ref="S113:T113"/>
    <mergeCell ref="L113:M113"/>
    <mergeCell ref="C112:E112"/>
    <mergeCell ref="N112:P112"/>
    <mergeCell ref="F112:G112"/>
    <mergeCell ref="U112:V112"/>
    <mergeCell ref="S112:T112"/>
    <mergeCell ref="L112:M112"/>
    <mergeCell ref="C111:E111"/>
    <mergeCell ref="N111:P111"/>
    <mergeCell ref="F111:G111"/>
    <mergeCell ref="U111:V111"/>
    <mergeCell ref="S111:T111"/>
    <mergeCell ref="L111:M111"/>
    <mergeCell ref="C110:E110"/>
    <mergeCell ref="N110:P110"/>
    <mergeCell ref="F110:G110"/>
    <mergeCell ref="U110:V110"/>
    <mergeCell ref="S110:T110"/>
    <mergeCell ref="L110:M110"/>
    <mergeCell ref="C109:E109"/>
    <mergeCell ref="N109:P109"/>
    <mergeCell ref="F109:G109"/>
    <mergeCell ref="U109:V109"/>
    <mergeCell ref="S109:T109"/>
    <mergeCell ref="L109:M109"/>
    <mergeCell ref="C108:E108"/>
    <mergeCell ref="N108:P108"/>
    <mergeCell ref="F108:G108"/>
    <mergeCell ref="U108:V108"/>
    <mergeCell ref="S108:T108"/>
    <mergeCell ref="L108:M108"/>
    <mergeCell ref="C107:E107"/>
    <mergeCell ref="N107:P107"/>
    <mergeCell ref="F107:G107"/>
    <mergeCell ref="U107:V107"/>
    <mergeCell ref="S107:T107"/>
    <mergeCell ref="L107:M107"/>
    <mergeCell ref="C106:E106"/>
    <mergeCell ref="N106:P106"/>
    <mergeCell ref="F106:G106"/>
    <mergeCell ref="U106:V106"/>
    <mergeCell ref="S106:T106"/>
    <mergeCell ref="L106:M106"/>
    <mergeCell ref="C105:E105"/>
    <mergeCell ref="N105:P105"/>
    <mergeCell ref="F105:G105"/>
    <mergeCell ref="U105:V105"/>
    <mergeCell ref="S105:T105"/>
    <mergeCell ref="L105:M105"/>
    <mergeCell ref="C104:E104"/>
    <mergeCell ref="N104:P104"/>
    <mergeCell ref="F104:G104"/>
    <mergeCell ref="U104:V104"/>
    <mergeCell ref="S104:T104"/>
    <mergeCell ref="L104:M104"/>
    <mergeCell ref="C103:E103"/>
    <mergeCell ref="N103:P103"/>
    <mergeCell ref="F103:G103"/>
    <mergeCell ref="U103:V103"/>
    <mergeCell ref="S103:T103"/>
    <mergeCell ref="L103:M103"/>
    <mergeCell ref="C102:E102"/>
    <mergeCell ref="N102:P102"/>
    <mergeCell ref="F102:G102"/>
    <mergeCell ref="U102:V102"/>
    <mergeCell ref="S102:T102"/>
    <mergeCell ref="L102:M102"/>
    <mergeCell ref="C101:E101"/>
    <mergeCell ref="N101:P101"/>
    <mergeCell ref="F101:G101"/>
    <mergeCell ref="U101:V101"/>
    <mergeCell ref="S101:T101"/>
    <mergeCell ref="L101:M101"/>
    <mergeCell ref="C100:E100"/>
    <mergeCell ref="N100:P100"/>
    <mergeCell ref="F100:G100"/>
    <mergeCell ref="U100:V100"/>
    <mergeCell ref="S100:T100"/>
    <mergeCell ref="L100:M100"/>
    <mergeCell ref="C99:E99"/>
    <mergeCell ref="N99:P99"/>
    <mergeCell ref="F99:G99"/>
    <mergeCell ref="U99:V99"/>
    <mergeCell ref="S99:T99"/>
    <mergeCell ref="L99:M99"/>
    <mergeCell ref="C98:E98"/>
    <mergeCell ref="N98:P98"/>
    <mergeCell ref="F98:G98"/>
    <mergeCell ref="U98:V98"/>
    <mergeCell ref="S98:T98"/>
    <mergeCell ref="L98:M98"/>
    <mergeCell ref="C97:E97"/>
    <mergeCell ref="N97:P97"/>
    <mergeCell ref="F97:G97"/>
    <mergeCell ref="U97:V97"/>
    <mergeCell ref="S97:T97"/>
    <mergeCell ref="L97:M97"/>
    <mergeCell ref="C96:E96"/>
    <mergeCell ref="N96:P96"/>
    <mergeCell ref="F96:G96"/>
    <mergeCell ref="U96:V96"/>
    <mergeCell ref="S96:T96"/>
    <mergeCell ref="L96:M96"/>
    <mergeCell ref="C95:E95"/>
    <mergeCell ref="N95:P95"/>
    <mergeCell ref="F95:G95"/>
    <mergeCell ref="U95:V95"/>
    <mergeCell ref="S95:T95"/>
    <mergeCell ref="L95:M95"/>
    <mergeCell ref="C94:E94"/>
    <mergeCell ref="N94:P94"/>
    <mergeCell ref="F94:G94"/>
    <mergeCell ref="U94:V94"/>
    <mergeCell ref="S94:T94"/>
    <mergeCell ref="L94:M94"/>
    <mergeCell ref="C93:E93"/>
    <mergeCell ref="N93:P93"/>
    <mergeCell ref="F93:G93"/>
    <mergeCell ref="U93:V93"/>
    <mergeCell ref="S93:T93"/>
    <mergeCell ref="L93:M93"/>
    <mergeCell ref="C92:E92"/>
    <mergeCell ref="N92:P92"/>
    <mergeCell ref="F92:G92"/>
    <mergeCell ref="U92:V92"/>
    <mergeCell ref="S92:T92"/>
    <mergeCell ref="L92:M92"/>
    <mergeCell ref="C91:E91"/>
    <mergeCell ref="N91:P91"/>
    <mergeCell ref="F91:G91"/>
    <mergeCell ref="U91:V91"/>
    <mergeCell ref="S91:T91"/>
    <mergeCell ref="L91:M91"/>
    <mergeCell ref="C90:E90"/>
    <mergeCell ref="N90:P90"/>
    <mergeCell ref="F90:G90"/>
    <mergeCell ref="U90:V90"/>
    <mergeCell ref="S90:T90"/>
    <mergeCell ref="L90:M90"/>
    <mergeCell ref="C89:E89"/>
    <mergeCell ref="N89:P89"/>
    <mergeCell ref="F89:G89"/>
    <mergeCell ref="U89:V89"/>
    <mergeCell ref="S89:T89"/>
    <mergeCell ref="L89:M89"/>
    <mergeCell ref="C88:E88"/>
    <mergeCell ref="N88:P88"/>
    <mergeCell ref="F88:G88"/>
    <mergeCell ref="U88:V88"/>
    <mergeCell ref="S88:T88"/>
    <mergeCell ref="L88:M88"/>
    <mergeCell ref="C87:E87"/>
    <mergeCell ref="N87:P87"/>
    <mergeCell ref="F87:G87"/>
    <mergeCell ref="U87:V87"/>
    <mergeCell ref="S87:T87"/>
    <mergeCell ref="L87:M87"/>
    <mergeCell ref="C86:E86"/>
    <mergeCell ref="N86:P86"/>
    <mergeCell ref="F86:G86"/>
    <mergeCell ref="U86:V86"/>
    <mergeCell ref="S86:T86"/>
    <mergeCell ref="L86:M86"/>
    <mergeCell ref="C85:E85"/>
    <mergeCell ref="N85:P85"/>
    <mergeCell ref="F85:G85"/>
    <mergeCell ref="U85:V85"/>
    <mergeCell ref="S85:T85"/>
    <mergeCell ref="L85:M85"/>
    <mergeCell ref="C84:E84"/>
    <mergeCell ref="N84:P84"/>
    <mergeCell ref="F84:G84"/>
    <mergeCell ref="U84:V84"/>
    <mergeCell ref="S84:T84"/>
    <mergeCell ref="L84:M84"/>
    <mergeCell ref="C83:E83"/>
    <mergeCell ref="N83:P83"/>
    <mergeCell ref="F83:G83"/>
    <mergeCell ref="U83:V83"/>
    <mergeCell ref="S83:T83"/>
    <mergeCell ref="L83:M83"/>
    <mergeCell ref="C82:E82"/>
    <mergeCell ref="N82:P82"/>
    <mergeCell ref="F82:G82"/>
    <mergeCell ref="U82:V82"/>
    <mergeCell ref="S82:T82"/>
    <mergeCell ref="L82:M82"/>
    <mergeCell ref="C81:E81"/>
    <mergeCell ref="N81:P81"/>
    <mergeCell ref="F81:G81"/>
    <mergeCell ref="U81:V81"/>
    <mergeCell ref="S81:T81"/>
    <mergeCell ref="L81:M81"/>
    <mergeCell ref="C80:E80"/>
    <mergeCell ref="N80:P80"/>
    <mergeCell ref="F80:G80"/>
    <mergeCell ref="U80:V80"/>
    <mergeCell ref="S80:T80"/>
    <mergeCell ref="L80:M80"/>
    <mergeCell ref="C79:E79"/>
    <mergeCell ref="N79:P79"/>
    <mergeCell ref="F79:G79"/>
    <mergeCell ref="U79:V79"/>
    <mergeCell ref="S79:T79"/>
    <mergeCell ref="L79:M79"/>
    <mergeCell ref="C78:E78"/>
    <mergeCell ref="N78:P78"/>
    <mergeCell ref="F78:G78"/>
    <mergeCell ref="U78:V78"/>
    <mergeCell ref="S78:T78"/>
    <mergeCell ref="L78:M78"/>
    <mergeCell ref="C77:E77"/>
    <mergeCell ref="N77:P77"/>
    <mergeCell ref="F77:G77"/>
    <mergeCell ref="U77:V77"/>
    <mergeCell ref="S77:T77"/>
    <mergeCell ref="L77:M77"/>
    <mergeCell ref="C76:E76"/>
    <mergeCell ref="N76:P76"/>
    <mergeCell ref="F76:G76"/>
    <mergeCell ref="U76:V76"/>
    <mergeCell ref="S76:T76"/>
    <mergeCell ref="L76:M76"/>
    <mergeCell ref="C75:E75"/>
    <mergeCell ref="N75:P75"/>
    <mergeCell ref="F75:G75"/>
    <mergeCell ref="U75:V75"/>
    <mergeCell ref="S75:T75"/>
    <mergeCell ref="L75:M75"/>
    <mergeCell ref="C74:E74"/>
    <mergeCell ref="N74:P74"/>
    <mergeCell ref="F74:G74"/>
    <mergeCell ref="U74:V74"/>
    <mergeCell ref="S74:T74"/>
    <mergeCell ref="L74:M74"/>
    <mergeCell ref="C73:E73"/>
    <mergeCell ref="N73:P73"/>
    <mergeCell ref="F73:G73"/>
    <mergeCell ref="U73:V73"/>
    <mergeCell ref="S73:T73"/>
    <mergeCell ref="L73:M73"/>
    <mergeCell ref="C72:E72"/>
    <mergeCell ref="N72:P72"/>
    <mergeCell ref="F72:G72"/>
    <mergeCell ref="U72:V72"/>
    <mergeCell ref="S72:T72"/>
    <mergeCell ref="L72:M72"/>
    <mergeCell ref="C71:E71"/>
    <mergeCell ref="N71:P71"/>
    <mergeCell ref="F71:G71"/>
    <mergeCell ref="U71:V71"/>
    <mergeCell ref="S71:T71"/>
    <mergeCell ref="L71:M71"/>
    <mergeCell ref="C70:E70"/>
    <mergeCell ref="N70:P70"/>
    <mergeCell ref="F70:G70"/>
    <mergeCell ref="U70:V70"/>
    <mergeCell ref="S70:T70"/>
    <mergeCell ref="L70:M70"/>
    <mergeCell ref="C69:E69"/>
    <mergeCell ref="N69:P69"/>
    <mergeCell ref="F69:G69"/>
    <mergeCell ref="U69:V69"/>
    <mergeCell ref="S69:T69"/>
    <mergeCell ref="L69:M69"/>
    <mergeCell ref="C68:E68"/>
    <mergeCell ref="N68:P68"/>
    <mergeCell ref="F68:G68"/>
    <mergeCell ref="U68:V68"/>
    <mergeCell ref="S68:T68"/>
    <mergeCell ref="L68:M68"/>
    <mergeCell ref="C67:E67"/>
    <mergeCell ref="N67:P67"/>
    <mergeCell ref="F67:G67"/>
    <mergeCell ref="U67:V67"/>
    <mergeCell ref="S67:T67"/>
    <mergeCell ref="L67:M67"/>
    <mergeCell ref="C66:E66"/>
    <mergeCell ref="N66:P66"/>
    <mergeCell ref="F66:G66"/>
    <mergeCell ref="U66:V66"/>
    <mergeCell ref="S66:T66"/>
    <mergeCell ref="L66:M66"/>
    <mergeCell ref="C65:E65"/>
    <mergeCell ref="N65:P65"/>
    <mergeCell ref="F65:G65"/>
    <mergeCell ref="U65:V65"/>
    <mergeCell ref="S65:T65"/>
    <mergeCell ref="L65:M65"/>
    <mergeCell ref="C64:E64"/>
    <mergeCell ref="N64:P64"/>
    <mergeCell ref="F64:G64"/>
    <mergeCell ref="U64:V64"/>
    <mergeCell ref="S64:T64"/>
    <mergeCell ref="L64:M64"/>
    <mergeCell ref="C63:E63"/>
    <mergeCell ref="N63:P63"/>
    <mergeCell ref="F63:G63"/>
    <mergeCell ref="U63:V63"/>
    <mergeCell ref="S63:T63"/>
    <mergeCell ref="L63:M63"/>
    <mergeCell ref="C62:E62"/>
    <mergeCell ref="N62:P62"/>
    <mergeCell ref="F62:G62"/>
    <mergeCell ref="U62:V62"/>
    <mergeCell ref="S62:T62"/>
    <mergeCell ref="L62:M62"/>
    <mergeCell ref="C61:E61"/>
    <mergeCell ref="N61:P61"/>
    <mergeCell ref="F61:G61"/>
    <mergeCell ref="U61:V61"/>
    <mergeCell ref="S61:T61"/>
    <mergeCell ref="L61:M61"/>
    <mergeCell ref="C60:E60"/>
    <mergeCell ref="N60:P60"/>
    <mergeCell ref="F60:G60"/>
    <mergeCell ref="U60:V60"/>
    <mergeCell ref="S60:T60"/>
    <mergeCell ref="L60:M60"/>
    <mergeCell ref="C59:E59"/>
    <mergeCell ref="N59:P59"/>
    <mergeCell ref="F59:G59"/>
    <mergeCell ref="U59:V59"/>
    <mergeCell ref="S59:T59"/>
    <mergeCell ref="L59:M59"/>
    <mergeCell ref="C58:E58"/>
    <mergeCell ref="N58:P58"/>
    <mergeCell ref="F58:G58"/>
    <mergeCell ref="U58:V58"/>
    <mergeCell ref="S58:T58"/>
    <mergeCell ref="L58:M58"/>
    <mergeCell ref="C57:E57"/>
    <mergeCell ref="N57:P57"/>
    <mergeCell ref="F57:G57"/>
    <mergeCell ref="U57:V57"/>
    <mergeCell ref="S57:T57"/>
    <mergeCell ref="L57:M57"/>
    <mergeCell ref="C56:E56"/>
    <mergeCell ref="N56:P56"/>
    <mergeCell ref="F56:G56"/>
    <mergeCell ref="U56:V56"/>
    <mergeCell ref="S56:T56"/>
    <mergeCell ref="L56:M56"/>
    <mergeCell ref="C55:E55"/>
    <mergeCell ref="N55:P55"/>
    <mergeCell ref="F55:G55"/>
    <mergeCell ref="U55:V55"/>
    <mergeCell ref="S55:T55"/>
    <mergeCell ref="L55:M55"/>
    <mergeCell ref="C54:E54"/>
    <mergeCell ref="N54:P54"/>
    <mergeCell ref="F54:G54"/>
    <mergeCell ref="U54:V54"/>
    <mergeCell ref="S54:T54"/>
    <mergeCell ref="L54:M54"/>
    <mergeCell ref="C53:E53"/>
    <mergeCell ref="N53:P53"/>
    <mergeCell ref="F53:G53"/>
    <mergeCell ref="U53:V53"/>
    <mergeCell ref="S53:T53"/>
    <mergeCell ref="L53:M53"/>
    <mergeCell ref="C52:E52"/>
    <mergeCell ref="N52:P52"/>
    <mergeCell ref="F52:G52"/>
    <mergeCell ref="U52:V52"/>
    <mergeCell ref="S52:T52"/>
    <mergeCell ref="L52:M52"/>
    <mergeCell ref="C51:E51"/>
    <mergeCell ref="N51:P51"/>
    <mergeCell ref="F51:G51"/>
    <mergeCell ref="U51:V51"/>
    <mergeCell ref="S51:T51"/>
    <mergeCell ref="L51:M51"/>
    <mergeCell ref="C50:E50"/>
    <mergeCell ref="N50:P50"/>
    <mergeCell ref="F50:G50"/>
    <mergeCell ref="U50:V50"/>
    <mergeCell ref="S50:T50"/>
    <mergeCell ref="L50:M50"/>
    <mergeCell ref="C49:E49"/>
    <mergeCell ref="N49:P49"/>
    <mergeCell ref="F49:G49"/>
    <mergeCell ref="U49:V49"/>
    <mergeCell ref="S49:T49"/>
    <mergeCell ref="L49:M49"/>
    <mergeCell ref="C48:E48"/>
    <mergeCell ref="N48:P48"/>
    <mergeCell ref="F48:G48"/>
    <mergeCell ref="U48:V48"/>
    <mergeCell ref="S48:T48"/>
    <mergeCell ref="L48:M48"/>
    <mergeCell ref="C47:E47"/>
    <mergeCell ref="N47:P47"/>
    <mergeCell ref="F47:G47"/>
    <mergeCell ref="U47:V47"/>
    <mergeCell ref="S47:T47"/>
    <mergeCell ref="L47:M47"/>
    <mergeCell ref="C46:E46"/>
    <mergeCell ref="N46:P46"/>
    <mergeCell ref="F46:G46"/>
    <mergeCell ref="U46:V46"/>
    <mergeCell ref="S46:T46"/>
    <mergeCell ref="L46:M46"/>
    <mergeCell ref="C45:E45"/>
    <mergeCell ref="N45:P45"/>
    <mergeCell ref="F45:G45"/>
    <mergeCell ref="U45:V45"/>
    <mergeCell ref="S45:T45"/>
    <mergeCell ref="L45:M45"/>
    <mergeCell ref="C44:E44"/>
    <mergeCell ref="N44:P44"/>
    <mergeCell ref="F44:G44"/>
    <mergeCell ref="U44:V44"/>
    <mergeCell ref="S44:T44"/>
    <mergeCell ref="L44:M44"/>
    <mergeCell ref="C43:E43"/>
    <mergeCell ref="N43:P43"/>
    <mergeCell ref="F43:G43"/>
    <mergeCell ref="U43:V43"/>
    <mergeCell ref="S43:T43"/>
    <mergeCell ref="L43:M43"/>
    <mergeCell ref="C42:E42"/>
    <mergeCell ref="N42:P42"/>
    <mergeCell ref="F42:G42"/>
    <mergeCell ref="U42:V42"/>
    <mergeCell ref="S42:T42"/>
    <mergeCell ref="L42:M42"/>
    <mergeCell ref="C41:E41"/>
    <mergeCell ref="N41:P41"/>
    <mergeCell ref="F41:G41"/>
    <mergeCell ref="U41:V41"/>
    <mergeCell ref="S41:T41"/>
    <mergeCell ref="L41:M41"/>
    <mergeCell ref="C40:E40"/>
    <mergeCell ref="N40:P40"/>
    <mergeCell ref="F40:G40"/>
    <mergeCell ref="U40:V40"/>
    <mergeCell ref="S40:T40"/>
    <mergeCell ref="L40:M40"/>
    <mergeCell ref="C39:E39"/>
    <mergeCell ref="N39:P39"/>
    <mergeCell ref="F39:G39"/>
    <mergeCell ref="U39:V39"/>
    <mergeCell ref="S39:T39"/>
    <mergeCell ref="L39:M39"/>
    <mergeCell ref="C38:E38"/>
    <mergeCell ref="N38:P38"/>
    <mergeCell ref="F38:G38"/>
    <mergeCell ref="U38:V38"/>
    <mergeCell ref="S38:T38"/>
    <mergeCell ref="L38:M38"/>
    <mergeCell ref="C37:E37"/>
    <mergeCell ref="N37:P37"/>
    <mergeCell ref="F37:G37"/>
    <mergeCell ref="U37:V37"/>
    <mergeCell ref="S37:T37"/>
    <mergeCell ref="L37:M37"/>
    <mergeCell ref="C36:E36"/>
    <mergeCell ref="N36:P36"/>
    <mergeCell ref="F36:G36"/>
    <mergeCell ref="U36:V36"/>
    <mergeCell ref="S36:T36"/>
    <mergeCell ref="L36:M36"/>
    <mergeCell ref="C35:E35"/>
    <mergeCell ref="N35:P35"/>
    <mergeCell ref="F35:G35"/>
    <mergeCell ref="U35:V35"/>
    <mergeCell ref="S35:T35"/>
    <mergeCell ref="L35:M35"/>
    <mergeCell ref="C34:E34"/>
    <mergeCell ref="N34:P34"/>
    <mergeCell ref="F34:G34"/>
    <mergeCell ref="U34:V34"/>
    <mergeCell ref="S34:T34"/>
    <mergeCell ref="L34:M34"/>
    <mergeCell ref="C33:E33"/>
    <mergeCell ref="N33:P33"/>
    <mergeCell ref="F33:G33"/>
    <mergeCell ref="U33:V33"/>
    <mergeCell ref="S33:T33"/>
    <mergeCell ref="L33:M33"/>
    <mergeCell ref="C32:E32"/>
    <mergeCell ref="N32:P32"/>
    <mergeCell ref="F32:G32"/>
    <mergeCell ref="U32:V32"/>
    <mergeCell ref="S32:T32"/>
    <mergeCell ref="L32:M32"/>
    <mergeCell ref="C31:E31"/>
    <mergeCell ref="N31:P31"/>
    <mergeCell ref="F31:G31"/>
    <mergeCell ref="U31:V31"/>
    <mergeCell ref="S31:T31"/>
    <mergeCell ref="L31:M31"/>
    <mergeCell ref="C30:E30"/>
    <mergeCell ref="N30:P30"/>
    <mergeCell ref="F30:G30"/>
    <mergeCell ref="U30:V30"/>
    <mergeCell ref="S30:T30"/>
    <mergeCell ref="L30:M30"/>
    <mergeCell ref="C29:E29"/>
    <mergeCell ref="N29:P29"/>
    <mergeCell ref="F29:G29"/>
    <mergeCell ref="U29:V29"/>
    <mergeCell ref="S29:T29"/>
    <mergeCell ref="L29:M29"/>
    <mergeCell ref="C28:E28"/>
    <mergeCell ref="N28:P28"/>
    <mergeCell ref="F28:G28"/>
    <mergeCell ref="U28:V28"/>
    <mergeCell ref="S28:T28"/>
    <mergeCell ref="L28:M28"/>
    <mergeCell ref="C27:E27"/>
    <mergeCell ref="N27:P27"/>
    <mergeCell ref="F27:G27"/>
    <mergeCell ref="U27:V27"/>
    <mergeCell ref="S27:T27"/>
    <mergeCell ref="L27:M27"/>
    <mergeCell ref="C26:E26"/>
    <mergeCell ref="N26:P26"/>
    <mergeCell ref="F26:G26"/>
    <mergeCell ref="U26:V26"/>
    <mergeCell ref="S26:T26"/>
    <mergeCell ref="L26:M26"/>
    <mergeCell ref="C25:E25"/>
    <mergeCell ref="N25:P25"/>
    <mergeCell ref="F25:G25"/>
    <mergeCell ref="U25:V25"/>
    <mergeCell ref="S25:T25"/>
    <mergeCell ref="L25:M25"/>
    <mergeCell ref="C24:E24"/>
    <mergeCell ref="N24:P24"/>
    <mergeCell ref="F24:G24"/>
    <mergeCell ref="U24:V24"/>
    <mergeCell ref="S24:T24"/>
    <mergeCell ref="L24:M24"/>
    <mergeCell ref="C23:E23"/>
    <mergeCell ref="N23:P23"/>
    <mergeCell ref="F23:G23"/>
    <mergeCell ref="U23:V23"/>
    <mergeCell ref="S23:T23"/>
    <mergeCell ref="L23:M23"/>
    <mergeCell ref="C22:E22"/>
    <mergeCell ref="N22:P22"/>
    <mergeCell ref="F22:G22"/>
    <mergeCell ref="U22:V22"/>
    <mergeCell ref="S22:T22"/>
    <mergeCell ref="L22:M22"/>
    <mergeCell ref="C21:E21"/>
    <mergeCell ref="N21:P21"/>
    <mergeCell ref="F21:G21"/>
    <mergeCell ref="U21:V21"/>
    <mergeCell ref="S21:T21"/>
    <mergeCell ref="L21:M21"/>
    <mergeCell ref="C20:E20"/>
    <mergeCell ref="N20:P20"/>
    <mergeCell ref="F20:G20"/>
    <mergeCell ref="U20:V20"/>
    <mergeCell ref="S20:T20"/>
    <mergeCell ref="L20:M20"/>
    <mergeCell ref="C19:E19"/>
    <mergeCell ref="N19:P19"/>
    <mergeCell ref="F19:G19"/>
    <mergeCell ref="U19:V19"/>
    <mergeCell ref="S19:T19"/>
    <mergeCell ref="L19:M19"/>
    <mergeCell ref="C18:E18"/>
    <mergeCell ref="N18:P18"/>
    <mergeCell ref="F18:G18"/>
    <mergeCell ref="U18:V18"/>
    <mergeCell ref="S18:T18"/>
    <mergeCell ref="L18:M18"/>
    <mergeCell ref="C17:E17"/>
    <mergeCell ref="N17:P17"/>
    <mergeCell ref="F17:G17"/>
    <mergeCell ref="U17:V17"/>
    <mergeCell ref="S17:T17"/>
    <mergeCell ref="L17:M17"/>
    <mergeCell ref="C16:E16"/>
    <mergeCell ref="N16:P16"/>
    <mergeCell ref="F16:G16"/>
    <mergeCell ref="U16:V16"/>
    <mergeCell ref="S16:T16"/>
    <mergeCell ref="L16:M16"/>
    <mergeCell ref="N14:P14"/>
    <mergeCell ref="B6:C6"/>
    <mergeCell ref="B7:C7"/>
    <mergeCell ref="D5:F5"/>
    <mergeCell ref="D6:F6"/>
    <mergeCell ref="T11:U11"/>
    <mergeCell ref="L13:M13"/>
    <mergeCell ref="C15:E15"/>
    <mergeCell ref="N15:P15"/>
    <mergeCell ref="F15:G15"/>
    <mergeCell ref="U15:V15"/>
    <mergeCell ref="S15:T15"/>
    <mergeCell ref="L15:M15"/>
    <mergeCell ref="F14:G14"/>
    <mergeCell ref="B11:D11"/>
    <mergeCell ref="E11:G11"/>
    <mergeCell ref="U14:V14"/>
    <mergeCell ref="U13:V13"/>
    <mergeCell ref="S14:T14"/>
    <mergeCell ref="L14:M14"/>
    <mergeCell ref="C14:E14"/>
    <mergeCell ref="K11:L11"/>
    <mergeCell ref="N13:P13"/>
    <mergeCell ref="C1:V3"/>
    <mergeCell ref="H11:J11"/>
    <mergeCell ref="C13:E13"/>
    <mergeCell ref="S13:T13"/>
    <mergeCell ref="D7:F7"/>
    <mergeCell ref="R11:S11"/>
    <mergeCell ref="N11:Q11"/>
    <mergeCell ref="F13:G13"/>
    <mergeCell ref="B9:V9"/>
    <mergeCell ref="B5:C5"/>
  </mergeCells>
  <phoneticPr fontId="3" type="noConversion"/>
  <pageMargins left="0.39370078740157483" right="0.39370078740157483" top="0.39370078740157483" bottom="0.39370078740157483" header="0.31496062992125984" footer="0.39370078740157483"/>
  <pageSetup paperSize="9" scale="53" orientation="portrait" r:id="rId1"/>
  <headerFooter>
    <oddFooter>&amp;N페이지 중 &amp;P페이지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FC912-7A57-485E-B591-59178B56E984}">
  <dimension ref="A1:AK715"/>
  <sheetViews>
    <sheetView zoomScale="160" zoomScaleNormal="160" workbookViewId="0">
      <selection sqref="A1:AJ1"/>
    </sheetView>
  </sheetViews>
  <sheetFormatPr defaultColWidth="5" defaultRowHeight="13.5" x14ac:dyDescent="0.15"/>
  <cols>
    <col min="1" max="10" width="5" style="32"/>
    <col min="11" max="11" width="2.375" style="32" bestFit="1" customWidth="1"/>
    <col min="12" max="12" width="5" style="32"/>
    <col min="13" max="13" width="3" style="32" bestFit="1" customWidth="1"/>
    <col min="14" max="16384" width="5" style="32"/>
  </cols>
  <sheetData>
    <row r="1" spans="1:37" ht="44.25" customHeight="1" x14ac:dyDescent="0.15">
      <c r="A1" s="142"/>
      <c r="B1" s="142"/>
      <c r="C1" s="142"/>
      <c r="D1" s="142"/>
      <c r="E1" s="142"/>
      <c r="F1" s="142"/>
      <c r="G1" s="142"/>
      <c r="H1" s="142"/>
      <c r="I1" s="142"/>
      <c r="J1" s="142"/>
      <c r="K1" s="142"/>
      <c r="L1" s="142"/>
      <c r="M1" s="142"/>
      <c r="N1" s="142"/>
      <c r="O1" s="142"/>
      <c r="P1" s="142"/>
      <c r="Q1" s="142"/>
      <c r="R1" s="142"/>
      <c r="S1" s="142"/>
      <c r="T1" s="142"/>
      <c r="U1" s="142"/>
      <c r="V1" s="142"/>
      <c r="W1" s="142"/>
      <c r="X1" s="142"/>
      <c r="Y1" s="142"/>
      <c r="Z1" s="142"/>
      <c r="AA1" s="142"/>
      <c r="AB1" s="142"/>
      <c r="AC1" s="142"/>
      <c r="AD1" s="142"/>
      <c r="AE1" s="142"/>
      <c r="AF1" s="142"/>
      <c r="AG1" s="142"/>
      <c r="AH1" s="142"/>
      <c r="AI1" s="142"/>
      <c r="AJ1" s="142"/>
    </row>
    <row r="2" spans="1:37" ht="5.65" customHeight="1" x14ac:dyDescent="0.15"/>
    <row r="3" spans="1:37" ht="15.2" customHeight="1" x14ac:dyDescent="0.15">
      <c r="B3" s="143" t="s">
        <v>818</v>
      </c>
      <c r="C3" s="143"/>
      <c r="D3" s="143"/>
      <c r="E3" s="143"/>
      <c r="F3" s="143" t="s">
        <v>817</v>
      </c>
      <c r="G3" s="143"/>
      <c r="H3" s="143"/>
      <c r="I3" s="143"/>
      <c r="J3" s="143"/>
      <c r="K3" s="143"/>
      <c r="L3" s="143"/>
      <c r="M3" s="143"/>
      <c r="N3" s="143"/>
      <c r="Y3" s="143" t="s">
        <v>816</v>
      </c>
      <c r="Z3" s="143"/>
      <c r="AA3" s="143"/>
      <c r="AB3" s="144" t="s">
        <v>815</v>
      </c>
      <c r="AC3" s="144"/>
      <c r="AD3" s="144"/>
      <c r="AE3" s="144"/>
      <c r="AF3" s="144"/>
      <c r="AG3" s="145" t="s">
        <v>814</v>
      </c>
      <c r="AH3" s="35"/>
      <c r="AI3" s="35"/>
      <c r="AJ3" s="35"/>
    </row>
    <row r="4" spans="1:37" ht="14.65" customHeight="1" x14ac:dyDescent="0.15">
      <c r="B4" s="143" t="s">
        <v>813</v>
      </c>
      <c r="C4" s="143"/>
      <c r="D4" s="143"/>
      <c r="E4" s="143"/>
      <c r="F4" s="143" t="s">
        <v>812</v>
      </c>
      <c r="G4" s="143"/>
      <c r="H4" s="143"/>
      <c r="I4" s="143"/>
      <c r="J4" s="143" t="s">
        <v>811</v>
      </c>
      <c r="K4" s="143"/>
      <c r="L4" s="143"/>
      <c r="M4" s="143"/>
      <c r="N4" s="143"/>
    </row>
    <row r="5" spans="1:37" ht="14.85" customHeight="1" x14ac:dyDescent="0.15">
      <c r="B5" s="143" t="s">
        <v>810</v>
      </c>
      <c r="C5" s="143"/>
      <c r="D5" s="143"/>
      <c r="E5" s="143"/>
      <c r="F5" s="143" t="s">
        <v>809</v>
      </c>
      <c r="G5" s="143"/>
      <c r="H5" s="143"/>
      <c r="I5" s="143"/>
      <c r="J5" s="143" t="s">
        <v>808</v>
      </c>
      <c r="K5" s="143"/>
      <c r="L5" s="143"/>
      <c r="M5" s="143"/>
      <c r="N5" s="143"/>
      <c r="O5" s="143"/>
      <c r="P5" s="143"/>
      <c r="Q5" s="143"/>
      <c r="R5" s="143"/>
      <c r="S5" s="143"/>
      <c r="T5" s="143"/>
    </row>
    <row r="6" spans="1:37" ht="35.65" customHeight="1" x14ac:dyDescent="0.15">
      <c r="G6" s="146" t="s">
        <v>807</v>
      </c>
      <c r="H6" s="146"/>
      <c r="I6" s="146"/>
      <c r="J6" s="146"/>
      <c r="K6" s="146"/>
      <c r="L6" s="146"/>
      <c r="M6" s="146"/>
      <c r="N6" s="146"/>
      <c r="O6" s="146"/>
      <c r="P6" s="146"/>
      <c r="Q6" s="146"/>
      <c r="R6" s="146"/>
      <c r="S6" s="146"/>
      <c r="T6" s="146"/>
      <c r="U6" s="146"/>
      <c r="V6" s="146"/>
      <c r="W6" s="146"/>
      <c r="X6" s="146"/>
      <c r="Y6" s="146"/>
      <c r="Z6" s="146"/>
      <c r="AA6" s="146"/>
      <c r="AB6" s="146"/>
    </row>
    <row r="7" spans="1:37" ht="10.35" customHeight="1" x14ac:dyDescent="0.15"/>
    <row r="8" spans="1:37" ht="14.85" customHeight="1" x14ac:dyDescent="0.15">
      <c r="D8" s="147" t="s">
        <v>801</v>
      </c>
      <c r="E8" s="147"/>
      <c r="F8" s="147"/>
      <c r="G8" s="147"/>
      <c r="H8" s="148"/>
      <c r="I8" s="148"/>
      <c r="J8" s="148"/>
      <c r="K8" s="148"/>
      <c r="L8" s="148"/>
      <c r="M8" s="148"/>
      <c r="N8" s="148"/>
      <c r="O8" s="148"/>
      <c r="P8" s="148"/>
      <c r="Q8" s="147" t="s">
        <v>806</v>
      </c>
      <c r="R8" s="147"/>
      <c r="S8" s="148"/>
      <c r="T8" s="148"/>
      <c r="U8" s="148"/>
      <c r="V8" s="148"/>
      <c r="W8" s="147" t="s">
        <v>805</v>
      </c>
      <c r="X8" s="147"/>
      <c r="Y8" s="148" t="s">
        <v>29</v>
      </c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</row>
    <row r="9" spans="1:37" ht="15.4" customHeight="1" x14ac:dyDescent="0.15"/>
    <row r="10" spans="1:37" ht="15.6" customHeight="1" x14ac:dyDescent="0.15">
      <c r="D10" s="139" t="s">
        <v>804</v>
      </c>
      <c r="E10" s="139"/>
      <c r="F10" s="140">
        <v>44197</v>
      </c>
      <c r="G10" s="140"/>
      <c r="H10" s="140"/>
      <c r="I10" s="140"/>
      <c r="J10" s="140"/>
      <c r="K10" s="34" t="s">
        <v>14</v>
      </c>
      <c r="L10" s="140">
        <v>44926</v>
      </c>
      <c r="M10" s="140"/>
      <c r="N10" s="140"/>
      <c r="O10" s="140"/>
      <c r="P10" s="140"/>
      <c r="Q10" s="139"/>
      <c r="R10" s="139"/>
      <c r="S10" s="139"/>
    </row>
    <row r="11" spans="1:37" ht="29.65" customHeight="1" x14ac:dyDescent="0.15">
      <c r="C11" s="141" t="s">
        <v>803</v>
      </c>
      <c r="D11" s="141"/>
      <c r="E11" s="141" t="s">
        <v>802</v>
      </c>
      <c r="F11" s="141"/>
      <c r="G11" s="141"/>
      <c r="H11" s="141"/>
      <c r="I11" s="141" t="s">
        <v>801</v>
      </c>
      <c r="J11" s="141"/>
      <c r="K11" s="141"/>
      <c r="L11" s="141"/>
      <c r="M11" s="141"/>
      <c r="N11" s="137" t="s">
        <v>800</v>
      </c>
      <c r="O11" s="137"/>
      <c r="P11" s="141" t="s">
        <v>799</v>
      </c>
      <c r="Q11" s="141"/>
      <c r="R11" s="141"/>
      <c r="S11" s="141"/>
      <c r="T11" s="137" t="s">
        <v>798</v>
      </c>
      <c r="U11" s="137"/>
      <c r="V11" s="137" t="s">
        <v>617</v>
      </c>
      <c r="W11" s="137"/>
      <c r="X11" s="141" t="s">
        <v>797</v>
      </c>
      <c r="Y11" s="141"/>
      <c r="Z11" s="141" t="s">
        <v>796</v>
      </c>
      <c r="AA11" s="141"/>
      <c r="AB11" s="141"/>
      <c r="AC11" s="141"/>
      <c r="AD11" s="141" t="s">
        <v>795</v>
      </c>
      <c r="AE11" s="141"/>
      <c r="AF11" s="141"/>
      <c r="AG11" s="141"/>
      <c r="AH11" s="141"/>
      <c r="AI11" s="141" t="s">
        <v>794</v>
      </c>
      <c r="AJ11" s="141"/>
      <c r="AK11" s="141"/>
    </row>
    <row r="12" spans="1:37" ht="14.85" customHeight="1" x14ac:dyDescent="0.15">
      <c r="C12" s="132">
        <v>44198</v>
      </c>
      <c r="D12" s="132"/>
      <c r="E12" s="132">
        <v>44199</v>
      </c>
      <c r="F12" s="132"/>
      <c r="G12" s="132"/>
      <c r="H12" s="132"/>
      <c r="I12" s="133" t="s">
        <v>621</v>
      </c>
      <c r="J12" s="133"/>
      <c r="K12" s="133"/>
      <c r="L12" s="133"/>
      <c r="M12" s="133"/>
      <c r="N12" s="134" t="s">
        <v>620</v>
      </c>
      <c r="O12" s="134"/>
      <c r="P12" s="134" t="s">
        <v>673</v>
      </c>
      <c r="Q12" s="134"/>
      <c r="R12" s="134"/>
      <c r="S12" s="134"/>
      <c r="T12" s="135">
        <v>1318553360</v>
      </c>
      <c r="U12" s="135"/>
      <c r="V12" s="136" t="s">
        <v>618</v>
      </c>
      <c r="W12" s="136"/>
      <c r="X12" s="129">
        <v>77750</v>
      </c>
      <c r="Y12" s="129"/>
      <c r="Z12" s="129">
        <v>75255</v>
      </c>
      <c r="AA12" s="129"/>
      <c r="AB12" s="129"/>
      <c r="AC12" s="129"/>
      <c r="AD12" s="129">
        <v>2495</v>
      </c>
      <c r="AE12" s="129"/>
      <c r="AF12" s="129"/>
      <c r="AG12" s="129"/>
      <c r="AH12" s="129"/>
      <c r="AI12" s="129">
        <v>0</v>
      </c>
      <c r="AJ12" s="129"/>
      <c r="AK12" s="129"/>
    </row>
    <row r="13" spans="1:37" ht="14.85" customHeight="1" x14ac:dyDescent="0.15">
      <c r="C13" s="132">
        <v>44198</v>
      </c>
      <c r="D13" s="132"/>
      <c r="E13" s="132">
        <v>44199</v>
      </c>
      <c r="F13" s="132"/>
      <c r="G13" s="132"/>
      <c r="H13" s="132"/>
      <c r="I13" s="133" t="s">
        <v>621</v>
      </c>
      <c r="J13" s="133"/>
      <c r="K13" s="133"/>
      <c r="L13" s="133"/>
      <c r="M13" s="133"/>
      <c r="N13" s="134" t="s">
        <v>620</v>
      </c>
      <c r="O13" s="134"/>
      <c r="P13" s="134" t="s">
        <v>673</v>
      </c>
      <c r="Q13" s="134"/>
      <c r="R13" s="134"/>
      <c r="S13" s="134"/>
      <c r="T13" s="135">
        <v>1318553360</v>
      </c>
      <c r="U13" s="135"/>
      <c r="V13" s="136" t="s">
        <v>618</v>
      </c>
      <c r="W13" s="136"/>
      <c r="X13" s="129">
        <v>4500</v>
      </c>
      <c r="Y13" s="129"/>
      <c r="Z13" s="129">
        <v>4091</v>
      </c>
      <c r="AA13" s="129"/>
      <c r="AB13" s="129"/>
      <c r="AC13" s="129"/>
      <c r="AD13" s="129">
        <v>409</v>
      </c>
      <c r="AE13" s="129"/>
      <c r="AF13" s="129"/>
      <c r="AG13" s="129"/>
      <c r="AH13" s="129"/>
      <c r="AI13" s="129">
        <v>0</v>
      </c>
      <c r="AJ13" s="129"/>
      <c r="AK13" s="129"/>
    </row>
    <row r="14" spans="1:37" ht="14.85" customHeight="1" x14ac:dyDescent="0.15">
      <c r="C14" s="132">
        <v>44200</v>
      </c>
      <c r="D14" s="132"/>
      <c r="E14" s="132">
        <v>44201</v>
      </c>
      <c r="F14" s="132"/>
      <c r="G14" s="132"/>
      <c r="H14" s="132"/>
      <c r="I14" s="133" t="s">
        <v>621</v>
      </c>
      <c r="J14" s="133"/>
      <c r="K14" s="133"/>
      <c r="L14" s="133"/>
      <c r="M14" s="133"/>
      <c r="N14" s="134" t="s">
        <v>620</v>
      </c>
      <c r="O14" s="134"/>
      <c r="P14" s="134" t="s">
        <v>699</v>
      </c>
      <c r="Q14" s="134"/>
      <c r="R14" s="134"/>
      <c r="S14" s="134"/>
      <c r="T14" s="135">
        <v>3021040377</v>
      </c>
      <c r="U14" s="135"/>
      <c r="V14" s="136" t="s">
        <v>622</v>
      </c>
      <c r="W14" s="136"/>
      <c r="X14" s="129">
        <v>4500</v>
      </c>
      <c r="Y14" s="129"/>
      <c r="Z14" s="129">
        <v>4091</v>
      </c>
      <c r="AA14" s="129"/>
      <c r="AB14" s="129"/>
      <c r="AC14" s="129"/>
      <c r="AD14" s="129">
        <v>409</v>
      </c>
      <c r="AE14" s="129"/>
      <c r="AF14" s="129"/>
      <c r="AG14" s="129"/>
      <c r="AH14" s="129"/>
      <c r="AI14" s="129">
        <v>0</v>
      </c>
      <c r="AJ14" s="129"/>
      <c r="AK14" s="129"/>
    </row>
    <row r="15" spans="1:37" ht="14.85" customHeight="1" x14ac:dyDescent="0.15">
      <c r="C15" s="132">
        <v>44202</v>
      </c>
      <c r="D15" s="132"/>
      <c r="E15" s="132">
        <v>44203</v>
      </c>
      <c r="F15" s="132"/>
      <c r="G15" s="132"/>
      <c r="H15" s="132"/>
      <c r="I15" s="133" t="s">
        <v>621</v>
      </c>
      <c r="J15" s="133"/>
      <c r="K15" s="133"/>
      <c r="L15" s="133"/>
      <c r="M15" s="133"/>
      <c r="N15" s="134" t="s">
        <v>620</v>
      </c>
      <c r="O15" s="134"/>
      <c r="P15" s="134" t="s">
        <v>658</v>
      </c>
      <c r="Q15" s="134"/>
      <c r="R15" s="134"/>
      <c r="S15" s="134"/>
      <c r="T15" s="135">
        <v>1119100176</v>
      </c>
      <c r="U15" s="135"/>
      <c r="V15" s="136" t="s">
        <v>626</v>
      </c>
      <c r="W15" s="136"/>
      <c r="X15" s="129">
        <v>25200</v>
      </c>
      <c r="Y15" s="129"/>
      <c r="Z15" s="129">
        <v>25200</v>
      </c>
      <c r="AA15" s="129"/>
      <c r="AB15" s="129"/>
      <c r="AC15" s="129"/>
      <c r="AD15" s="129">
        <v>0</v>
      </c>
      <c r="AE15" s="129"/>
      <c r="AF15" s="129"/>
      <c r="AG15" s="129"/>
      <c r="AH15" s="129"/>
      <c r="AI15" s="129">
        <v>0</v>
      </c>
      <c r="AJ15" s="129"/>
      <c r="AK15" s="129"/>
    </row>
    <row r="16" spans="1:37" ht="14.85" customHeight="1" x14ac:dyDescent="0.15">
      <c r="C16" s="132">
        <v>44202</v>
      </c>
      <c r="D16" s="132"/>
      <c r="E16" s="132">
        <v>44203</v>
      </c>
      <c r="F16" s="132"/>
      <c r="G16" s="132"/>
      <c r="H16" s="132"/>
      <c r="I16" s="133" t="s">
        <v>621</v>
      </c>
      <c r="J16" s="133"/>
      <c r="K16" s="133"/>
      <c r="L16" s="133"/>
      <c r="M16" s="133"/>
      <c r="N16" s="134" t="s">
        <v>620</v>
      </c>
      <c r="O16" s="134"/>
      <c r="P16" s="134" t="s">
        <v>793</v>
      </c>
      <c r="Q16" s="134"/>
      <c r="R16" s="134"/>
      <c r="S16" s="134"/>
      <c r="T16" s="135">
        <v>1313604541</v>
      </c>
      <c r="U16" s="135"/>
      <c r="V16" s="136" t="s">
        <v>776</v>
      </c>
      <c r="W16" s="136"/>
      <c r="X16" s="129">
        <v>3000</v>
      </c>
      <c r="Y16" s="129"/>
      <c r="Z16" s="129">
        <v>3000</v>
      </c>
      <c r="AA16" s="129"/>
      <c r="AB16" s="129"/>
      <c r="AC16" s="129"/>
      <c r="AD16" s="129">
        <v>0</v>
      </c>
      <c r="AE16" s="129"/>
      <c r="AF16" s="129"/>
      <c r="AG16" s="129"/>
      <c r="AH16" s="129"/>
      <c r="AI16" s="129">
        <v>0</v>
      </c>
      <c r="AJ16" s="129"/>
      <c r="AK16" s="129"/>
    </row>
    <row r="17" spans="3:37" ht="14.85" customHeight="1" x14ac:dyDescent="0.15">
      <c r="C17" s="132">
        <v>44202</v>
      </c>
      <c r="D17" s="132"/>
      <c r="E17" s="132">
        <v>44204</v>
      </c>
      <c r="F17" s="132"/>
      <c r="G17" s="132"/>
      <c r="H17" s="132"/>
      <c r="I17" s="133" t="s">
        <v>665</v>
      </c>
      <c r="J17" s="133"/>
      <c r="K17" s="133"/>
      <c r="L17" s="133"/>
      <c r="M17" s="133"/>
      <c r="N17" s="134" t="s">
        <v>664</v>
      </c>
      <c r="O17" s="134"/>
      <c r="P17" s="134" t="s">
        <v>692</v>
      </c>
      <c r="Q17" s="134"/>
      <c r="R17" s="134"/>
      <c r="S17" s="134"/>
      <c r="T17" s="135">
        <v>5304900441</v>
      </c>
      <c r="U17" s="135"/>
      <c r="V17" s="136" t="s">
        <v>618</v>
      </c>
      <c r="W17" s="136"/>
      <c r="X17" s="129">
        <v>4500</v>
      </c>
      <c r="Y17" s="129"/>
      <c r="Z17" s="129">
        <v>4091</v>
      </c>
      <c r="AA17" s="129"/>
      <c r="AB17" s="129"/>
      <c r="AC17" s="129"/>
      <c r="AD17" s="129">
        <v>409</v>
      </c>
      <c r="AE17" s="129"/>
      <c r="AF17" s="129"/>
      <c r="AG17" s="129"/>
      <c r="AH17" s="129"/>
      <c r="AI17" s="129">
        <v>0</v>
      </c>
      <c r="AJ17" s="129"/>
      <c r="AK17" s="129"/>
    </row>
    <row r="18" spans="3:37" ht="14.85" customHeight="1" x14ac:dyDescent="0.15">
      <c r="C18" s="132">
        <v>44203</v>
      </c>
      <c r="D18" s="132"/>
      <c r="E18" s="132">
        <v>44204</v>
      </c>
      <c r="F18" s="132"/>
      <c r="G18" s="132"/>
      <c r="H18" s="132"/>
      <c r="I18" s="133" t="s">
        <v>621</v>
      </c>
      <c r="J18" s="133"/>
      <c r="K18" s="133"/>
      <c r="L18" s="133"/>
      <c r="M18" s="133"/>
      <c r="N18" s="134" t="s">
        <v>620</v>
      </c>
      <c r="O18" s="134"/>
      <c r="P18" s="134" t="s">
        <v>694</v>
      </c>
      <c r="Q18" s="134"/>
      <c r="R18" s="134"/>
      <c r="S18" s="134"/>
      <c r="T18" s="135">
        <v>1310434836</v>
      </c>
      <c r="U18" s="135"/>
      <c r="V18" s="136" t="s">
        <v>618</v>
      </c>
      <c r="W18" s="136"/>
      <c r="X18" s="129">
        <v>4500</v>
      </c>
      <c r="Y18" s="129"/>
      <c r="Z18" s="129">
        <v>4091</v>
      </c>
      <c r="AA18" s="129"/>
      <c r="AB18" s="129"/>
      <c r="AC18" s="129"/>
      <c r="AD18" s="129">
        <v>409</v>
      </c>
      <c r="AE18" s="129"/>
      <c r="AF18" s="129"/>
      <c r="AG18" s="129"/>
      <c r="AH18" s="129"/>
      <c r="AI18" s="129">
        <v>0</v>
      </c>
      <c r="AJ18" s="129"/>
      <c r="AK18" s="129"/>
    </row>
    <row r="19" spans="3:37" ht="14.85" customHeight="1" x14ac:dyDescent="0.15">
      <c r="C19" s="132">
        <v>44204</v>
      </c>
      <c r="D19" s="132"/>
      <c r="E19" s="132">
        <v>44205</v>
      </c>
      <c r="F19" s="132"/>
      <c r="G19" s="132"/>
      <c r="H19" s="132"/>
      <c r="I19" s="133" t="s">
        <v>621</v>
      </c>
      <c r="J19" s="133"/>
      <c r="K19" s="133"/>
      <c r="L19" s="133"/>
      <c r="M19" s="133"/>
      <c r="N19" s="134" t="s">
        <v>620</v>
      </c>
      <c r="O19" s="134"/>
      <c r="P19" s="134" t="s">
        <v>627</v>
      </c>
      <c r="Q19" s="134"/>
      <c r="R19" s="134"/>
      <c r="S19" s="134"/>
      <c r="T19" s="135">
        <v>2329300384</v>
      </c>
      <c r="U19" s="135"/>
      <c r="V19" s="136" t="s">
        <v>626</v>
      </c>
      <c r="W19" s="136"/>
      <c r="X19" s="129">
        <v>4400</v>
      </c>
      <c r="Y19" s="129"/>
      <c r="Z19" s="129">
        <v>4400</v>
      </c>
      <c r="AA19" s="129"/>
      <c r="AB19" s="129"/>
      <c r="AC19" s="129"/>
      <c r="AD19" s="129">
        <v>0</v>
      </c>
      <c r="AE19" s="129"/>
      <c r="AF19" s="129"/>
      <c r="AG19" s="129"/>
      <c r="AH19" s="129"/>
      <c r="AI19" s="129">
        <v>0</v>
      </c>
      <c r="AJ19" s="129"/>
      <c r="AK19" s="129"/>
    </row>
    <row r="20" spans="3:37" ht="14.85" customHeight="1" x14ac:dyDescent="0.15">
      <c r="C20" s="132">
        <v>44204</v>
      </c>
      <c r="D20" s="132"/>
      <c r="E20" s="132">
        <v>44205</v>
      </c>
      <c r="F20" s="132"/>
      <c r="G20" s="132"/>
      <c r="H20" s="132"/>
      <c r="I20" s="133" t="s">
        <v>621</v>
      </c>
      <c r="J20" s="133"/>
      <c r="K20" s="133"/>
      <c r="L20" s="133"/>
      <c r="M20" s="133"/>
      <c r="N20" s="134" t="s">
        <v>620</v>
      </c>
      <c r="O20" s="134"/>
      <c r="P20" s="134" t="s">
        <v>625</v>
      </c>
      <c r="Q20" s="134"/>
      <c r="R20" s="134"/>
      <c r="S20" s="134"/>
      <c r="T20" s="135">
        <v>6073354644</v>
      </c>
      <c r="U20" s="135"/>
      <c r="V20" s="136" t="s">
        <v>618</v>
      </c>
      <c r="W20" s="136"/>
      <c r="X20" s="129">
        <v>31600</v>
      </c>
      <c r="Y20" s="129"/>
      <c r="Z20" s="129">
        <v>31600</v>
      </c>
      <c r="AA20" s="129"/>
      <c r="AB20" s="129"/>
      <c r="AC20" s="129"/>
      <c r="AD20" s="129">
        <v>0</v>
      </c>
      <c r="AE20" s="129"/>
      <c r="AF20" s="129"/>
      <c r="AG20" s="129"/>
      <c r="AH20" s="129"/>
      <c r="AI20" s="129">
        <v>0</v>
      </c>
      <c r="AJ20" s="129"/>
      <c r="AK20" s="129"/>
    </row>
    <row r="21" spans="3:37" ht="14.85" customHeight="1" x14ac:dyDescent="0.15">
      <c r="C21" s="132">
        <v>44204</v>
      </c>
      <c r="D21" s="132"/>
      <c r="E21" s="132">
        <v>44205</v>
      </c>
      <c r="F21" s="132"/>
      <c r="G21" s="132"/>
      <c r="H21" s="132"/>
      <c r="I21" s="133" t="s">
        <v>621</v>
      </c>
      <c r="J21" s="133"/>
      <c r="K21" s="133"/>
      <c r="L21" s="133"/>
      <c r="M21" s="133"/>
      <c r="N21" s="134" t="s">
        <v>620</v>
      </c>
      <c r="O21" s="134"/>
      <c r="P21" s="134" t="s">
        <v>792</v>
      </c>
      <c r="Q21" s="134"/>
      <c r="R21" s="134"/>
      <c r="S21" s="134"/>
      <c r="T21" s="135">
        <v>1310946166</v>
      </c>
      <c r="U21" s="135"/>
      <c r="V21" s="136" t="s">
        <v>618</v>
      </c>
      <c r="W21" s="136"/>
      <c r="X21" s="129">
        <v>6600</v>
      </c>
      <c r="Y21" s="129"/>
      <c r="Z21" s="129">
        <v>6000</v>
      </c>
      <c r="AA21" s="129"/>
      <c r="AB21" s="129"/>
      <c r="AC21" s="129"/>
      <c r="AD21" s="129">
        <v>600</v>
      </c>
      <c r="AE21" s="129"/>
      <c r="AF21" s="129"/>
      <c r="AG21" s="129"/>
      <c r="AH21" s="129"/>
      <c r="AI21" s="129">
        <v>0</v>
      </c>
      <c r="AJ21" s="129"/>
      <c r="AK21" s="129"/>
    </row>
    <row r="22" spans="3:37" ht="14.85" customHeight="1" x14ac:dyDescent="0.15">
      <c r="C22" s="132">
        <v>44204</v>
      </c>
      <c r="D22" s="132"/>
      <c r="E22" s="132">
        <v>44205</v>
      </c>
      <c r="F22" s="132"/>
      <c r="G22" s="132"/>
      <c r="H22" s="132"/>
      <c r="I22" s="133" t="s">
        <v>621</v>
      </c>
      <c r="J22" s="133"/>
      <c r="K22" s="133"/>
      <c r="L22" s="133"/>
      <c r="M22" s="133"/>
      <c r="N22" s="134" t="s">
        <v>620</v>
      </c>
      <c r="O22" s="134"/>
      <c r="P22" s="134" t="s">
        <v>699</v>
      </c>
      <c r="Q22" s="134"/>
      <c r="R22" s="134"/>
      <c r="S22" s="134"/>
      <c r="T22" s="135">
        <v>3021040377</v>
      </c>
      <c r="U22" s="135"/>
      <c r="V22" s="136" t="s">
        <v>622</v>
      </c>
      <c r="W22" s="136"/>
      <c r="X22" s="129">
        <v>5200</v>
      </c>
      <c r="Y22" s="129"/>
      <c r="Z22" s="129">
        <v>4736</v>
      </c>
      <c r="AA22" s="129"/>
      <c r="AB22" s="129"/>
      <c r="AC22" s="129"/>
      <c r="AD22" s="129">
        <v>464</v>
      </c>
      <c r="AE22" s="129"/>
      <c r="AF22" s="129"/>
      <c r="AG22" s="129"/>
      <c r="AH22" s="129"/>
      <c r="AI22" s="129">
        <v>0</v>
      </c>
      <c r="AJ22" s="129"/>
      <c r="AK22" s="129"/>
    </row>
    <row r="23" spans="3:37" ht="14.85" customHeight="1" x14ac:dyDescent="0.15">
      <c r="C23" s="132">
        <v>44206</v>
      </c>
      <c r="D23" s="132"/>
      <c r="E23" s="132">
        <v>44207</v>
      </c>
      <c r="F23" s="132"/>
      <c r="G23" s="132"/>
      <c r="H23" s="132"/>
      <c r="I23" s="133" t="s">
        <v>665</v>
      </c>
      <c r="J23" s="133"/>
      <c r="K23" s="133"/>
      <c r="L23" s="133"/>
      <c r="M23" s="133"/>
      <c r="N23" s="134" t="s">
        <v>664</v>
      </c>
      <c r="O23" s="134"/>
      <c r="P23" s="134" t="s">
        <v>694</v>
      </c>
      <c r="Q23" s="134"/>
      <c r="R23" s="134"/>
      <c r="S23" s="134"/>
      <c r="T23" s="135">
        <v>1310434836</v>
      </c>
      <c r="U23" s="135"/>
      <c r="V23" s="136" t="s">
        <v>618</v>
      </c>
      <c r="W23" s="136"/>
      <c r="X23" s="129">
        <v>4500</v>
      </c>
      <c r="Y23" s="129"/>
      <c r="Z23" s="129">
        <v>4091</v>
      </c>
      <c r="AA23" s="129"/>
      <c r="AB23" s="129"/>
      <c r="AC23" s="129"/>
      <c r="AD23" s="129">
        <v>409</v>
      </c>
      <c r="AE23" s="129"/>
      <c r="AF23" s="129"/>
      <c r="AG23" s="129"/>
      <c r="AH23" s="129"/>
      <c r="AI23" s="129">
        <v>0</v>
      </c>
      <c r="AJ23" s="129"/>
      <c r="AK23" s="129"/>
    </row>
    <row r="24" spans="3:37" ht="14.85" customHeight="1" x14ac:dyDescent="0.15">
      <c r="C24" s="132">
        <v>44207</v>
      </c>
      <c r="D24" s="132"/>
      <c r="E24" s="132">
        <v>44207</v>
      </c>
      <c r="F24" s="132"/>
      <c r="G24" s="132"/>
      <c r="H24" s="132"/>
      <c r="I24" s="133" t="s">
        <v>621</v>
      </c>
      <c r="J24" s="133"/>
      <c r="K24" s="133"/>
      <c r="L24" s="133"/>
      <c r="M24" s="133"/>
      <c r="N24" s="134" t="s">
        <v>643</v>
      </c>
      <c r="O24" s="134"/>
      <c r="P24" s="134" t="s">
        <v>656</v>
      </c>
      <c r="Q24" s="134"/>
      <c r="R24" s="134"/>
      <c r="S24" s="134"/>
      <c r="T24" s="136"/>
      <c r="U24" s="136"/>
      <c r="V24" s="136"/>
      <c r="W24" s="136"/>
      <c r="X24" s="129">
        <v>200000</v>
      </c>
      <c r="Y24" s="129"/>
      <c r="Z24" s="129">
        <v>200000</v>
      </c>
      <c r="AA24" s="129"/>
      <c r="AB24" s="129"/>
      <c r="AC24" s="129"/>
      <c r="AD24" s="129">
        <v>0</v>
      </c>
      <c r="AE24" s="129"/>
      <c r="AF24" s="129"/>
      <c r="AG24" s="129"/>
      <c r="AH24" s="129"/>
      <c r="AI24" s="129">
        <v>0</v>
      </c>
      <c r="AJ24" s="129"/>
      <c r="AK24" s="129"/>
    </row>
    <row r="25" spans="3:37" ht="14.85" customHeight="1" x14ac:dyDescent="0.15">
      <c r="C25" s="132">
        <v>44208</v>
      </c>
      <c r="D25" s="132"/>
      <c r="E25" s="132">
        <v>44209</v>
      </c>
      <c r="F25" s="132"/>
      <c r="G25" s="132"/>
      <c r="H25" s="132"/>
      <c r="I25" s="133" t="s">
        <v>621</v>
      </c>
      <c r="J25" s="133"/>
      <c r="K25" s="133"/>
      <c r="L25" s="133"/>
      <c r="M25" s="133"/>
      <c r="N25" s="134" t="s">
        <v>620</v>
      </c>
      <c r="O25" s="134"/>
      <c r="P25" s="134" t="s">
        <v>694</v>
      </c>
      <c r="Q25" s="134"/>
      <c r="R25" s="134"/>
      <c r="S25" s="134"/>
      <c r="T25" s="135">
        <v>1310434836</v>
      </c>
      <c r="U25" s="135"/>
      <c r="V25" s="136" t="s">
        <v>618</v>
      </c>
      <c r="W25" s="136"/>
      <c r="X25" s="129">
        <v>4500</v>
      </c>
      <c r="Y25" s="129"/>
      <c r="Z25" s="129">
        <v>4091</v>
      </c>
      <c r="AA25" s="129"/>
      <c r="AB25" s="129"/>
      <c r="AC25" s="129"/>
      <c r="AD25" s="129">
        <v>409</v>
      </c>
      <c r="AE25" s="129"/>
      <c r="AF25" s="129"/>
      <c r="AG25" s="129"/>
      <c r="AH25" s="129"/>
      <c r="AI25" s="129">
        <v>0</v>
      </c>
      <c r="AJ25" s="129"/>
      <c r="AK25" s="129"/>
    </row>
    <row r="26" spans="3:37" ht="14.85" customHeight="1" x14ac:dyDescent="0.15">
      <c r="C26" s="132">
        <v>44209</v>
      </c>
      <c r="D26" s="132"/>
      <c r="E26" s="132">
        <v>44209</v>
      </c>
      <c r="F26" s="132"/>
      <c r="G26" s="132"/>
      <c r="H26" s="132"/>
      <c r="I26" s="133" t="s">
        <v>621</v>
      </c>
      <c r="J26" s="133"/>
      <c r="K26" s="133"/>
      <c r="L26" s="133"/>
      <c r="M26" s="133"/>
      <c r="N26" s="134" t="s">
        <v>687</v>
      </c>
      <c r="O26" s="134"/>
      <c r="P26" s="134" t="s">
        <v>791</v>
      </c>
      <c r="Q26" s="134"/>
      <c r="R26" s="134"/>
      <c r="S26" s="134"/>
      <c r="T26" s="135">
        <v>2028148079</v>
      </c>
      <c r="U26" s="135"/>
      <c r="V26" s="136" t="s">
        <v>618</v>
      </c>
      <c r="W26" s="136"/>
      <c r="X26" s="129">
        <v>819420</v>
      </c>
      <c r="Y26" s="129"/>
      <c r="Z26" s="129">
        <v>819420</v>
      </c>
      <c r="AA26" s="129"/>
      <c r="AB26" s="129"/>
      <c r="AC26" s="129"/>
      <c r="AD26" s="129">
        <v>0</v>
      </c>
      <c r="AE26" s="129"/>
      <c r="AF26" s="129"/>
      <c r="AG26" s="129"/>
      <c r="AH26" s="129"/>
      <c r="AI26" s="129">
        <v>0</v>
      </c>
      <c r="AJ26" s="129"/>
      <c r="AK26" s="129"/>
    </row>
    <row r="27" spans="3:37" ht="14.85" customHeight="1" x14ac:dyDescent="0.15">
      <c r="C27" s="132">
        <v>44209</v>
      </c>
      <c r="D27" s="132"/>
      <c r="E27" s="132">
        <v>44210</v>
      </c>
      <c r="F27" s="132"/>
      <c r="G27" s="132"/>
      <c r="H27" s="132"/>
      <c r="I27" s="133" t="s">
        <v>621</v>
      </c>
      <c r="J27" s="133"/>
      <c r="K27" s="133"/>
      <c r="L27" s="133"/>
      <c r="M27" s="133"/>
      <c r="N27" s="134" t="s">
        <v>687</v>
      </c>
      <c r="O27" s="134"/>
      <c r="P27" s="134" t="s">
        <v>694</v>
      </c>
      <c r="Q27" s="134"/>
      <c r="R27" s="134"/>
      <c r="S27" s="134"/>
      <c r="T27" s="135">
        <v>1310434836</v>
      </c>
      <c r="U27" s="135"/>
      <c r="V27" s="136" t="s">
        <v>618</v>
      </c>
      <c r="W27" s="136"/>
      <c r="X27" s="129">
        <v>4500</v>
      </c>
      <c r="Y27" s="129"/>
      <c r="Z27" s="129">
        <v>4091</v>
      </c>
      <c r="AA27" s="129"/>
      <c r="AB27" s="129"/>
      <c r="AC27" s="129"/>
      <c r="AD27" s="129">
        <v>409</v>
      </c>
      <c r="AE27" s="129"/>
      <c r="AF27" s="129"/>
      <c r="AG27" s="129"/>
      <c r="AH27" s="129"/>
      <c r="AI27" s="129">
        <v>0</v>
      </c>
      <c r="AJ27" s="129"/>
      <c r="AK27" s="129"/>
    </row>
    <row r="28" spans="3:37" ht="14.85" customHeight="1" x14ac:dyDescent="0.15">
      <c r="C28" s="132">
        <v>44211</v>
      </c>
      <c r="D28" s="132"/>
      <c r="E28" s="132">
        <v>44212</v>
      </c>
      <c r="F28" s="132"/>
      <c r="G28" s="132"/>
      <c r="H28" s="132"/>
      <c r="I28" s="133" t="s">
        <v>621</v>
      </c>
      <c r="J28" s="133"/>
      <c r="K28" s="133"/>
      <c r="L28" s="133"/>
      <c r="M28" s="133"/>
      <c r="N28" s="134" t="s">
        <v>687</v>
      </c>
      <c r="O28" s="134"/>
      <c r="P28" s="134" t="s">
        <v>729</v>
      </c>
      <c r="Q28" s="134"/>
      <c r="R28" s="134"/>
      <c r="S28" s="134"/>
      <c r="T28" s="135">
        <v>1313025563</v>
      </c>
      <c r="U28" s="135"/>
      <c r="V28" s="136" t="s">
        <v>618</v>
      </c>
      <c r="W28" s="136"/>
      <c r="X28" s="129">
        <v>48000</v>
      </c>
      <c r="Y28" s="129"/>
      <c r="Z28" s="129">
        <v>43637</v>
      </c>
      <c r="AA28" s="129"/>
      <c r="AB28" s="129"/>
      <c r="AC28" s="129"/>
      <c r="AD28" s="129">
        <v>4363</v>
      </c>
      <c r="AE28" s="129"/>
      <c r="AF28" s="129"/>
      <c r="AG28" s="129"/>
      <c r="AH28" s="129"/>
      <c r="AI28" s="129">
        <v>0</v>
      </c>
      <c r="AJ28" s="129"/>
      <c r="AK28" s="129"/>
    </row>
    <row r="29" spans="3:37" ht="14.85" customHeight="1" x14ac:dyDescent="0.15">
      <c r="C29" s="132">
        <v>44211</v>
      </c>
      <c r="D29" s="132"/>
      <c r="E29" s="132">
        <v>44213</v>
      </c>
      <c r="F29" s="132"/>
      <c r="G29" s="132"/>
      <c r="H29" s="132"/>
      <c r="I29" s="133" t="s">
        <v>621</v>
      </c>
      <c r="J29" s="133"/>
      <c r="K29" s="133"/>
      <c r="L29" s="133"/>
      <c r="M29" s="133"/>
      <c r="N29" s="134" t="s">
        <v>687</v>
      </c>
      <c r="O29" s="134"/>
      <c r="P29" s="134" t="s">
        <v>692</v>
      </c>
      <c r="Q29" s="134"/>
      <c r="R29" s="134"/>
      <c r="S29" s="134"/>
      <c r="T29" s="135">
        <v>5304900441</v>
      </c>
      <c r="U29" s="135"/>
      <c r="V29" s="136" t="s">
        <v>618</v>
      </c>
      <c r="W29" s="136"/>
      <c r="X29" s="129">
        <v>4500</v>
      </c>
      <c r="Y29" s="129"/>
      <c r="Z29" s="129">
        <v>4091</v>
      </c>
      <c r="AA29" s="129"/>
      <c r="AB29" s="129"/>
      <c r="AC29" s="129"/>
      <c r="AD29" s="129">
        <v>409</v>
      </c>
      <c r="AE29" s="129"/>
      <c r="AF29" s="129"/>
      <c r="AG29" s="129"/>
      <c r="AH29" s="129"/>
      <c r="AI29" s="129">
        <v>0</v>
      </c>
      <c r="AJ29" s="129"/>
      <c r="AK29" s="129"/>
    </row>
    <row r="30" spans="3:37" ht="14.85" customHeight="1" x14ac:dyDescent="0.15">
      <c r="C30" s="132">
        <v>44213</v>
      </c>
      <c r="D30" s="132"/>
      <c r="E30" s="132">
        <v>44214</v>
      </c>
      <c r="F30" s="132"/>
      <c r="G30" s="132"/>
      <c r="H30" s="132"/>
      <c r="I30" s="133" t="s">
        <v>621</v>
      </c>
      <c r="J30" s="133"/>
      <c r="K30" s="133"/>
      <c r="L30" s="133"/>
      <c r="M30" s="133"/>
      <c r="N30" s="134" t="s">
        <v>687</v>
      </c>
      <c r="O30" s="134"/>
      <c r="P30" s="134" t="s">
        <v>694</v>
      </c>
      <c r="Q30" s="134"/>
      <c r="R30" s="134"/>
      <c r="S30" s="134"/>
      <c r="T30" s="135">
        <v>1310434836</v>
      </c>
      <c r="U30" s="135"/>
      <c r="V30" s="136" t="s">
        <v>618</v>
      </c>
      <c r="W30" s="136"/>
      <c r="X30" s="129">
        <v>4500</v>
      </c>
      <c r="Y30" s="129"/>
      <c r="Z30" s="129">
        <v>4091</v>
      </c>
      <c r="AA30" s="129"/>
      <c r="AB30" s="129"/>
      <c r="AC30" s="129"/>
      <c r="AD30" s="129">
        <v>409</v>
      </c>
      <c r="AE30" s="129"/>
      <c r="AF30" s="129"/>
      <c r="AG30" s="129"/>
      <c r="AH30" s="129"/>
      <c r="AI30" s="129">
        <v>0</v>
      </c>
      <c r="AJ30" s="129"/>
      <c r="AK30" s="129"/>
    </row>
    <row r="31" spans="3:37" ht="14.85" customHeight="1" x14ac:dyDescent="0.15">
      <c r="C31" s="132">
        <v>44214</v>
      </c>
      <c r="D31" s="132"/>
      <c r="E31" s="132">
        <v>44216</v>
      </c>
      <c r="F31" s="132"/>
      <c r="G31" s="132"/>
      <c r="H31" s="132"/>
      <c r="I31" s="133" t="s">
        <v>621</v>
      </c>
      <c r="J31" s="133"/>
      <c r="K31" s="133"/>
      <c r="L31" s="133"/>
      <c r="M31" s="133"/>
      <c r="N31" s="134" t="s">
        <v>687</v>
      </c>
      <c r="O31" s="134"/>
      <c r="P31" s="134" t="s">
        <v>692</v>
      </c>
      <c r="Q31" s="134"/>
      <c r="R31" s="134"/>
      <c r="S31" s="134"/>
      <c r="T31" s="135">
        <v>5304900441</v>
      </c>
      <c r="U31" s="135"/>
      <c r="V31" s="136" t="s">
        <v>618</v>
      </c>
      <c r="W31" s="136"/>
      <c r="X31" s="129">
        <v>4500</v>
      </c>
      <c r="Y31" s="129"/>
      <c r="Z31" s="129">
        <v>4091</v>
      </c>
      <c r="AA31" s="129"/>
      <c r="AB31" s="129"/>
      <c r="AC31" s="129"/>
      <c r="AD31" s="129">
        <v>409</v>
      </c>
      <c r="AE31" s="129"/>
      <c r="AF31" s="129"/>
      <c r="AG31" s="129"/>
      <c r="AH31" s="129"/>
      <c r="AI31" s="129">
        <v>0</v>
      </c>
      <c r="AJ31" s="129"/>
      <c r="AK31" s="129"/>
    </row>
    <row r="32" spans="3:37" ht="14.85" customHeight="1" x14ac:dyDescent="0.15">
      <c r="C32" s="132">
        <v>44215</v>
      </c>
      <c r="D32" s="132"/>
      <c r="E32" s="132">
        <v>44216</v>
      </c>
      <c r="F32" s="132"/>
      <c r="G32" s="132"/>
      <c r="H32" s="132"/>
      <c r="I32" s="133" t="s">
        <v>621</v>
      </c>
      <c r="J32" s="133"/>
      <c r="K32" s="133"/>
      <c r="L32" s="133"/>
      <c r="M32" s="133"/>
      <c r="N32" s="134" t="s">
        <v>687</v>
      </c>
      <c r="O32" s="134"/>
      <c r="P32" s="134" t="s">
        <v>681</v>
      </c>
      <c r="Q32" s="134"/>
      <c r="R32" s="134"/>
      <c r="S32" s="134"/>
      <c r="T32" s="135">
        <v>1168119477</v>
      </c>
      <c r="U32" s="135"/>
      <c r="V32" s="136" t="s">
        <v>618</v>
      </c>
      <c r="W32" s="136"/>
      <c r="X32" s="129">
        <v>2100</v>
      </c>
      <c r="Y32" s="129"/>
      <c r="Z32" s="129">
        <v>2100</v>
      </c>
      <c r="AA32" s="129"/>
      <c r="AB32" s="129"/>
      <c r="AC32" s="129"/>
      <c r="AD32" s="129">
        <v>0</v>
      </c>
      <c r="AE32" s="129"/>
      <c r="AF32" s="129"/>
      <c r="AG32" s="129"/>
      <c r="AH32" s="129"/>
      <c r="AI32" s="129">
        <v>0</v>
      </c>
      <c r="AJ32" s="129"/>
      <c r="AK32" s="129"/>
    </row>
    <row r="33" spans="3:37" ht="14.85" customHeight="1" x14ac:dyDescent="0.15">
      <c r="C33" s="132">
        <v>44216</v>
      </c>
      <c r="D33" s="132"/>
      <c r="E33" s="132">
        <v>44217</v>
      </c>
      <c r="F33" s="132"/>
      <c r="G33" s="132"/>
      <c r="H33" s="132"/>
      <c r="I33" s="133" t="s">
        <v>621</v>
      </c>
      <c r="J33" s="133"/>
      <c r="K33" s="133"/>
      <c r="L33" s="133"/>
      <c r="M33" s="133"/>
      <c r="N33" s="134" t="s">
        <v>687</v>
      </c>
      <c r="O33" s="134"/>
      <c r="P33" s="134" t="s">
        <v>787</v>
      </c>
      <c r="Q33" s="134"/>
      <c r="R33" s="134"/>
      <c r="S33" s="134"/>
      <c r="T33" s="135">
        <v>1312045139</v>
      </c>
      <c r="U33" s="135"/>
      <c r="V33" s="136" t="s">
        <v>618</v>
      </c>
      <c r="W33" s="136"/>
      <c r="X33" s="129">
        <v>17000</v>
      </c>
      <c r="Y33" s="129"/>
      <c r="Z33" s="129">
        <v>15454</v>
      </c>
      <c r="AA33" s="129"/>
      <c r="AB33" s="129"/>
      <c r="AC33" s="129"/>
      <c r="AD33" s="129">
        <v>1546</v>
      </c>
      <c r="AE33" s="129"/>
      <c r="AF33" s="129"/>
      <c r="AG33" s="129"/>
      <c r="AH33" s="129"/>
      <c r="AI33" s="129">
        <v>0</v>
      </c>
      <c r="AJ33" s="129"/>
      <c r="AK33" s="129"/>
    </row>
    <row r="34" spans="3:37" ht="14.85" customHeight="1" x14ac:dyDescent="0.15">
      <c r="C34" s="132">
        <v>44216</v>
      </c>
      <c r="D34" s="132"/>
      <c r="E34" s="132">
        <v>44217</v>
      </c>
      <c r="F34" s="132"/>
      <c r="G34" s="132"/>
      <c r="H34" s="132"/>
      <c r="I34" s="133" t="s">
        <v>621</v>
      </c>
      <c r="J34" s="133"/>
      <c r="K34" s="133"/>
      <c r="L34" s="133"/>
      <c r="M34" s="133"/>
      <c r="N34" s="134" t="s">
        <v>687</v>
      </c>
      <c r="O34" s="134"/>
      <c r="P34" s="134" t="s">
        <v>658</v>
      </c>
      <c r="Q34" s="134"/>
      <c r="R34" s="134"/>
      <c r="S34" s="134"/>
      <c r="T34" s="135">
        <v>1119100176</v>
      </c>
      <c r="U34" s="135"/>
      <c r="V34" s="136" t="s">
        <v>626</v>
      </c>
      <c r="W34" s="136"/>
      <c r="X34" s="129">
        <v>11300</v>
      </c>
      <c r="Y34" s="129"/>
      <c r="Z34" s="129">
        <v>11300</v>
      </c>
      <c r="AA34" s="129"/>
      <c r="AB34" s="129"/>
      <c r="AC34" s="129"/>
      <c r="AD34" s="129">
        <v>0</v>
      </c>
      <c r="AE34" s="129"/>
      <c r="AF34" s="129"/>
      <c r="AG34" s="129"/>
      <c r="AH34" s="129"/>
      <c r="AI34" s="129">
        <v>0</v>
      </c>
      <c r="AJ34" s="129"/>
      <c r="AK34" s="129"/>
    </row>
    <row r="35" spans="3:37" ht="14.85" customHeight="1" x14ac:dyDescent="0.15">
      <c r="C35" s="132">
        <v>44216</v>
      </c>
      <c r="D35" s="132"/>
      <c r="E35" s="132">
        <v>44217</v>
      </c>
      <c r="F35" s="132"/>
      <c r="G35" s="132"/>
      <c r="H35" s="132"/>
      <c r="I35" s="133" t="s">
        <v>665</v>
      </c>
      <c r="J35" s="133"/>
      <c r="K35" s="133"/>
      <c r="L35" s="133"/>
      <c r="M35" s="133"/>
      <c r="N35" s="134" t="s">
        <v>664</v>
      </c>
      <c r="O35" s="134"/>
      <c r="P35" s="134" t="s">
        <v>694</v>
      </c>
      <c r="Q35" s="134"/>
      <c r="R35" s="134"/>
      <c r="S35" s="134"/>
      <c r="T35" s="135">
        <v>1310434836</v>
      </c>
      <c r="U35" s="135"/>
      <c r="V35" s="136" t="s">
        <v>618</v>
      </c>
      <c r="W35" s="136"/>
      <c r="X35" s="129">
        <v>4500</v>
      </c>
      <c r="Y35" s="129"/>
      <c r="Z35" s="129">
        <v>4091</v>
      </c>
      <c r="AA35" s="129"/>
      <c r="AB35" s="129"/>
      <c r="AC35" s="129"/>
      <c r="AD35" s="129">
        <v>409</v>
      </c>
      <c r="AE35" s="129"/>
      <c r="AF35" s="129"/>
      <c r="AG35" s="129"/>
      <c r="AH35" s="129"/>
      <c r="AI35" s="129">
        <v>0</v>
      </c>
      <c r="AJ35" s="129"/>
      <c r="AK35" s="129"/>
    </row>
    <row r="36" spans="3:37" ht="14.85" customHeight="1" x14ac:dyDescent="0.15">
      <c r="C36" s="132">
        <v>44216</v>
      </c>
      <c r="D36" s="132"/>
      <c r="E36" s="132">
        <v>44217</v>
      </c>
      <c r="F36" s="132"/>
      <c r="G36" s="132"/>
      <c r="H36" s="132"/>
      <c r="I36" s="133" t="s">
        <v>621</v>
      </c>
      <c r="J36" s="133"/>
      <c r="K36" s="133"/>
      <c r="L36" s="133"/>
      <c r="M36" s="133"/>
      <c r="N36" s="134" t="s">
        <v>687</v>
      </c>
      <c r="O36" s="134"/>
      <c r="P36" s="134" t="s">
        <v>699</v>
      </c>
      <c r="Q36" s="134"/>
      <c r="R36" s="134"/>
      <c r="S36" s="134"/>
      <c r="T36" s="135">
        <v>3021040377</v>
      </c>
      <c r="U36" s="135"/>
      <c r="V36" s="136" t="s">
        <v>622</v>
      </c>
      <c r="W36" s="136"/>
      <c r="X36" s="129">
        <v>9600</v>
      </c>
      <c r="Y36" s="129"/>
      <c r="Z36" s="129">
        <v>8728</v>
      </c>
      <c r="AA36" s="129"/>
      <c r="AB36" s="129"/>
      <c r="AC36" s="129"/>
      <c r="AD36" s="129">
        <v>872</v>
      </c>
      <c r="AE36" s="129"/>
      <c r="AF36" s="129"/>
      <c r="AG36" s="129"/>
      <c r="AH36" s="129"/>
      <c r="AI36" s="129">
        <v>0</v>
      </c>
      <c r="AJ36" s="129"/>
      <c r="AK36" s="129"/>
    </row>
    <row r="37" spans="3:37" ht="14.85" customHeight="1" x14ac:dyDescent="0.15">
      <c r="C37" s="132">
        <v>44217</v>
      </c>
      <c r="D37" s="132"/>
      <c r="E37" s="132">
        <v>44218</v>
      </c>
      <c r="F37" s="132"/>
      <c r="G37" s="132"/>
      <c r="H37" s="132"/>
      <c r="I37" s="133" t="s">
        <v>621</v>
      </c>
      <c r="J37" s="133"/>
      <c r="K37" s="133"/>
      <c r="L37" s="133"/>
      <c r="M37" s="133"/>
      <c r="N37" s="134" t="s">
        <v>687</v>
      </c>
      <c r="O37" s="134"/>
      <c r="P37" s="134" t="s">
        <v>694</v>
      </c>
      <c r="Q37" s="134"/>
      <c r="R37" s="134"/>
      <c r="S37" s="134"/>
      <c r="T37" s="135">
        <v>1310434836</v>
      </c>
      <c r="U37" s="135"/>
      <c r="V37" s="136" t="s">
        <v>618</v>
      </c>
      <c r="W37" s="136"/>
      <c r="X37" s="129">
        <v>4500</v>
      </c>
      <c r="Y37" s="129"/>
      <c r="Z37" s="129">
        <v>4091</v>
      </c>
      <c r="AA37" s="129"/>
      <c r="AB37" s="129"/>
      <c r="AC37" s="129"/>
      <c r="AD37" s="129">
        <v>409</v>
      </c>
      <c r="AE37" s="129"/>
      <c r="AF37" s="129"/>
      <c r="AG37" s="129"/>
      <c r="AH37" s="129"/>
      <c r="AI37" s="129">
        <v>0</v>
      </c>
      <c r="AJ37" s="129"/>
      <c r="AK37" s="129"/>
    </row>
    <row r="38" spans="3:37" ht="14.85" customHeight="1" x14ac:dyDescent="0.15">
      <c r="C38" s="132">
        <v>44218</v>
      </c>
      <c r="D38" s="132"/>
      <c r="E38" s="132">
        <v>44219</v>
      </c>
      <c r="F38" s="132"/>
      <c r="G38" s="132"/>
      <c r="H38" s="132"/>
      <c r="I38" s="133" t="s">
        <v>621</v>
      </c>
      <c r="J38" s="133"/>
      <c r="K38" s="133"/>
      <c r="L38" s="133"/>
      <c r="M38" s="133"/>
      <c r="N38" s="134" t="s">
        <v>687</v>
      </c>
      <c r="O38" s="134"/>
      <c r="P38" s="134" t="s">
        <v>694</v>
      </c>
      <c r="Q38" s="134"/>
      <c r="R38" s="134"/>
      <c r="S38" s="134"/>
      <c r="T38" s="135">
        <v>1310434836</v>
      </c>
      <c r="U38" s="135"/>
      <c r="V38" s="136" t="s">
        <v>618</v>
      </c>
      <c r="W38" s="136"/>
      <c r="X38" s="129">
        <v>4500</v>
      </c>
      <c r="Y38" s="129"/>
      <c r="Z38" s="129">
        <v>4091</v>
      </c>
      <c r="AA38" s="129"/>
      <c r="AB38" s="129"/>
      <c r="AC38" s="129"/>
      <c r="AD38" s="129">
        <v>409</v>
      </c>
      <c r="AE38" s="129"/>
      <c r="AF38" s="129"/>
      <c r="AG38" s="129"/>
      <c r="AH38" s="129"/>
      <c r="AI38" s="129">
        <v>0</v>
      </c>
      <c r="AJ38" s="129"/>
      <c r="AK38" s="129"/>
    </row>
    <row r="39" spans="3:37" ht="14.85" customHeight="1" x14ac:dyDescent="0.15">
      <c r="C39" s="132">
        <v>44220</v>
      </c>
      <c r="D39" s="132"/>
      <c r="E39" s="132">
        <v>44221</v>
      </c>
      <c r="F39" s="132"/>
      <c r="G39" s="132"/>
      <c r="H39" s="132"/>
      <c r="I39" s="133" t="s">
        <v>621</v>
      </c>
      <c r="J39" s="133"/>
      <c r="K39" s="133"/>
      <c r="L39" s="133"/>
      <c r="M39" s="133"/>
      <c r="N39" s="134" t="s">
        <v>687</v>
      </c>
      <c r="O39" s="134"/>
      <c r="P39" s="134" t="s">
        <v>694</v>
      </c>
      <c r="Q39" s="134"/>
      <c r="R39" s="134"/>
      <c r="S39" s="134"/>
      <c r="T39" s="135">
        <v>1310434836</v>
      </c>
      <c r="U39" s="135"/>
      <c r="V39" s="136" t="s">
        <v>618</v>
      </c>
      <c r="W39" s="136"/>
      <c r="X39" s="129">
        <v>4500</v>
      </c>
      <c r="Y39" s="129"/>
      <c r="Z39" s="129">
        <v>4091</v>
      </c>
      <c r="AA39" s="129"/>
      <c r="AB39" s="129"/>
      <c r="AC39" s="129"/>
      <c r="AD39" s="129">
        <v>409</v>
      </c>
      <c r="AE39" s="129"/>
      <c r="AF39" s="129"/>
      <c r="AG39" s="129"/>
      <c r="AH39" s="129"/>
      <c r="AI39" s="129">
        <v>0</v>
      </c>
      <c r="AJ39" s="129"/>
      <c r="AK39" s="129"/>
    </row>
    <row r="40" spans="3:37" ht="14.85" customHeight="1" x14ac:dyDescent="0.15">
      <c r="C40" s="132">
        <v>44221</v>
      </c>
      <c r="D40" s="132"/>
      <c r="E40" s="132">
        <v>44222</v>
      </c>
      <c r="F40" s="132"/>
      <c r="G40" s="132"/>
      <c r="H40" s="132"/>
      <c r="I40" s="133" t="s">
        <v>621</v>
      </c>
      <c r="J40" s="133"/>
      <c r="K40" s="133"/>
      <c r="L40" s="133"/>
      <c r="M40" s="133"/>
      <c r="N40" s="134" t="s">
        <v>687</v>
      </c>
      <c r="O40" s="134"/>
      <c r="P40" s="134" t="s">
        <v>790</v>
      </c>
      <c r="Q40" s="134"/>
      <c r="R40" s="134"/>
      <c r="S40" s="134"/>
      <c r="T40" s="135">
        <v>1311899966</v>
      </c>
      <c r="U40" s="135"/>
      <c r="V40" s="136" t="s">
        <v>618</v>
      </c>
      <c r="W40" s="136"/>
      <c r="X40" s="129">
        <v>15000</v>
      </c>
      <c r="Y40" s="129"/>
      <c r="Z40" s="129">
        <v>13636</v>
      </c>
      <c r="AA40" s="129"/>
      <c r="AB40" s="129"/>
      <c r="AC40" s="129"/>
      <c r="AD40" s="129">
        <v>1364</v>
      </c>
      <c r="AE40" s="129"/>
      <c r="AF40" s="129"/>
      <c r="AG40" s="129"/>
      <c r="AH40" s="129"/>
      <c r="AI40" s="129">
        <v>0</v>
      </c>
      <c r="AJ40" s="129"/>
      <c r="AK40" s="129"/>
    </row>
    <row r="41" spans="3:37" ht="14.85" customHeight="1" x14ac:dyDescent="0.15">
      <c r="C41" s="132">
        <v>44221</v>
      </c>
      <c r="D41" s="132"/>
      <c r="E41" s="132">
        <v>44222</v>
      </c>
      <c r="F41" s="132"/>
      <c r="G41" s="132"/>
      <c r="H41" s="132"/>
      <c r="I41" s="133" t="s">
        <v>621</v>
      </c>
      <c r="J41" s="133"/>
      <c r="K41" s="133"/>
      <c r="L41" s="133"/>
      <c r="M41" s="133"/>
      <c r="N41" s="134" t="s">
        <v>687</v>
      </c>
      <c r="O41" s="134"/>
      <c r="P41" s="134" t="s">
        <v>694</v>
      </c>
      <c r="Q41" s="134"/>
      <c r="R41" s="134"/>
      <c r="S41" s="134"/>
      <c r="T41" s="135">
        <v>1310434836</v>
      </c>
      <c r="U41" s="135"/>
      <c r="V41" s="136" t="s">
        <v>618</v>
      </c>
      <c r="W41" s="136"/>
      <c r="X41" s="129">
        <v>4500</v>
      </c>
      <c r="Y41" s="129"/>
      <c r="Z41" s="129">
        <v>4091</v>
      </c>
      <c r="AA41" s="129"/>
      <c r="AB41" s="129"/>
      <c r="AC41" s="129"/>
      <c r="AD41" s="129">
        <v>409</v>
      </c>
      <c r="AE41" s="129"/>
      <c r="AF41" s="129"/>
      <c r="AG41" s="129"/>
      <c r="AH41" s="129"/>
      <c r="AI41" s="129">
        <v>0</v>
      </c>
      <c r="AJ41" s="129"/>
      <c r="AK41" s="129"/>
    </row>
    <row r="42" spans="3:37" ht="14.85" customHeight="1" x14ac:dyDescent="0.15">
      <c r="C42" s="132">
        <v>44223</v>
      </c>
      <c r="D42" s="132"/>
      <c r="E42" s="132">
        <v>44224</v>
      </c>
      <c r="F42" s="132"/>
      <c r="G42" s="132"/>
      <c r="H42" s="132"/>
      <c r="I42" s="133" t="s">
        <v>665</v>
      </c>
      <c r="J42" s="133"/>
      <c r="K42" s="133"/>
      <c r="L42" s="133"/>
      <c r="M42" s="133"/>
      <c r="N42" s="134" t="s">
        <v>664</v>
      </c>
      <c r="O42" s="134"/>
      <c r="P42" s="134" t="s">
        <v>694</v>
      </c>
      <c r="Q42" s="134"/>
      <c r="R42" s="134"/>
      <c r="S42" s="134"/>
      <c r="T42" s="135">
        <v>1310434836</v>
      </c>
      <c r="U42" s="135"/>
      <c r="V42" s="136" t="s">
        <v>618</v>
      </c>
      <c r="W42" s="136"/>
      <c r="X42" s="129">
        <v>4500</v>
      </c>
      <c r="Y42" s="129"/>
      <c r="Z42" s="129">
        <v>4091</v>
      </c>
      <c r="AA42" s="129"/>
      <c r="AB42" s="129"/>
      <c r="AC42" s="129"/>
      <c r="AD42" s="129">
        <v>409</v>
      </c>
      <c r="AE42" s="129"/>
      <c r="AF42" s="129"/>
      <c r="AG42" s="129"/>
      <c r="AH42" s="129"/>
      <c r="AI42" s="129">
        <v>0</v>
      </c>
      <c r="AJ42" s="129"/>
      <c r="AK42" s="129"/>
    </row>
    <row r="43" spans="3:37" ht="14.85" customHeight="1" x14ac:dyDescent="0.15">
      <c r="C43" s="132">
        <v>44223</v>
      </c>
      <c r="D43" s="132"/>
      <c r="E43" s="132">
        <v>44224</v>
      </c>
      <c r="F43" s="132"/>
      <c r="G43" s="132"/>
      <c r="H43" s="132"/>
      <c r="I43" s="133" t="s">
        <v>665</v>
      </c>
      <c r="J43" s="133"/>
      <c r="K43" s="133"/>
      <c r="L43" s="133"/>
      <c r="M43" s="133"/>
      <c r="N43" s="134" t="s">
        <v>664</v>
      </c>
      <c r="O43" s="134"/>
      <c r="P43" s="134" t="s">
        <v>747</v>
      </c>
      <c r="Q43" s="134"/>
      <c r="R43" s="134"/>
      <c r="S43" s="134"/>
      <c r="T43" s="135">
        <v>3263700698</v>
      </c>
      <c r="U43" s="135"/>
      <c r="V43" s="136" t="s">
        <v>618</v>
      </c>
      <c r="W43" s="136"/>
      <c r="X43" s="129">
        <v>7500</v>
      </c>
      <c r="Y43" s="129"/>
      <c r="Z43" s="129">
        <v>6818</v>
      </c>
      <c r="AA43" s="129"/>
      <c r="AB43" s="129"/>
      <c r="AC43" s="129"/>
      <c r="AD43" s="129">
        <v>682</v>
      </c>
      <c r="AE43" s="129"/>
      <c r="AF43" s="129"/>
      <c r="AG43" s="129"/>
      <c r="AH43" s="129"/>
      <c r="AI43" s="129">
        <v>0</v>
      </c>
      <c r="AJ43" s="129"/>
      <c r="AK43" s="129"/>
    </row>
    <row r="44" spans="3:37" ht="14.85" customHeight="1" x14ac:dyDescent="0.15">
      <c r="C44" s="132">
        <v>44225</v>
      </c>
      <c r="D44" s="132"/>
      <c r="E44" s="132">
        <v>44226</v>
      </c>
      <c r="F44" s="132"/>
      <c r="G44" s="132"/>
      <c r="H44" s="132"/>
      <c r="I44" s="133" t="s">
        <v>621</v>
      </c>
      <c r="J44" s="133"/>
      <c r="K44" s="133"/>
      <c r="L44" s="133"/>
      <c r="M44" s="133"/>
      <c r="N44" s="134" t="s">
        <v>687</v>
      </c>
      <c r="O44" s="134"/>
      <c r="P44" s="134" t="s">
        <v>673</v>
      </c>
      <c r="Q44" s="134"/>
      <c r="R44" s="134"/>
      <c r="S44" s="134"/>
      <c r="T44" s="135">
        <v>1318553360</v>
      </c>
      <c r="U44" s="135"/>
      <c r="V44" s="136" t="s">
        <v>618</v>
      </c>
      <c r="W44" s="136"/>
      <c r="X44" s="129">
        <v>22850</v>
      </c>
      <c r="Y44" s="129"/>
      <c r="Z44" s="129">
        <v>21465</v>
      </c>
      <c r="AA44" s="129"/>
      <c r="AB44" s="129"/>
      <c r="AC44" s="129"/>
      <c r="AD44" s="129">
        <v>1385</v>
      </c>
      <c r="AE44" s="129"/>
      <c r="AF44" s="129"/>
      <c r="AG44" s="129"/>
      <c r="AH44" s="129"/>
      <c r="AI44" s="129">
        <v>0</v>
      </c>
      <c r="AJ44" s="129"/>
      <c r="AK44" s="129"/>
    </row>
    <row r="45" spans="3:37" ht="14.85" customHeight="1" x14ac:dyDescent="0.15">
      <c r="C45" s="132">
        <v>44225</v>
      </c>
      <c r="D45" s="132"/>
      <c r="E45" s="132">
        <v>44226</v>
      </c>
      <c r="F45" s="132"/>
      <c r="G45" s="132"/>
      <c r="H45" s="132"/>
      <c r="I45" s="133" t="s">
        <v>665</v>
      </c>
      <c r="J45" s="133"/>
      <c r="K45" s="133"/>
      <c r="L45" s="133"/>
      <c r="M45" s="133"/>
      <c r="N45" s="134" t="s">
        <v>664</v>
      </c>
      <c r="O45" s="134"/>
      <c r="P45" s="134" t="s">
        <v>694</v>
      </c>
      <c r="Q45" s="134"/>
      <c r="R45" s="134"/>
      <c r="S45" s="134"/>
      <c r="T45" s="135">
        <v>1310434836</v>
      </c>
      <c r="U45" s="135"/>
      <c r="V45" s="136" t="s">
        <v>618</v>
      </c>
      <c r="W45" s="136"/>
      <c r="X45" s="129">
        <v>4500</v>
      </c>
      <c r="Y45" s="129"/>
      <c r="Z45" s="129">
        <v>4091</v>
      </c>
      <c r="AA45" s="129"/>
      <c r="AB45" s="129"/>
      <c r="AC45" s="129"/>
      <c r="AD45" s="129">
        <v>409</v>
      </c>
      <c r="AE45" s="129"/>
      <c r="AF45" s="129"/>
      <c r="AG45" s="129"/>
      <c r="AH45" s="129"/>
      <c r="AI45" s="129">
        <v>0</v>
      </c>
      <c r="AJ45" s="129"/>
      <c r="AK45" s="129"/>
    </row>
    <row r="46" spans="3:37" ht="14.85" customHeight="1" x14ac:dyDescent="0.15">
      <c r="C46" s="132">
        <v>44226</v>
      </c>
      <c r="D46" s="132"/>
      <c r="E46" s="132">
        <v>44227</v>
      </c>
      <c r="F46" s="132"/>
      <c r="G46" s="132"/>
      <c r="H46" s="132"/>
      <c r="I46" s="133" t="s">
        <v>621</v>
      </c>
      <c r="J46" s="133"/>
      <c r="K46" s="133"/>
      <c r="L46" s="133"/>
      <c r="M46" s="133"/>
      <c r="N46" s="134" t="s">
        <v>687</v>
      </c>
      <c r="O46" s="134"/>
      <c r="P46" s="134" t="s">
        <v>699</v>
      </c>
      <c r="Q46" s="134"/>
      <c r="R46" s="134"/>
      <c r="S46" s="134"/>
      <c r="T46" s="135">
        <v>3021040377</v>
      </c>
      <c r="U46" s="135"/>
      <c r="V46" s="136" t="s">
        <v>622</v>
      </c>
      <c r="W46" s="136"/>
      <c r="X46" s="129">
        <v>13900</v>
      </c>
      <c r="Y46" s="129"/>
      <c r="Z46" s="129">
        <v>12637</v>
      </c>
      <c r="AA46" s="129"/>
      <c r="AB46" s="129"/>
      <c r="AC46" s="129"/>
      <c r="AD46" s="129">
        <v>1263</v>
      </c>
      <c r="AE46" s="129"/>
      <c r="AF46" s="129"/>
      <c r="AG46" s="129"/>
      <c r="AH46" s="129"/>
      <c r="AI46" s="129">
        <v>0</v>
      </c>
      <c r="AJ46" s="129"/>
      <c r="AK46" s="129"/>
    </row>
    <row r="47" spans="3:37" ht="14.85" customHeight="1" x14ac:dyDescent="0.15">
      <c r="C47" s="132">
        <v>44228</v>
      </c>
      <c r="D47" s="132"/>
      <c r="E47" s="132">
        <v>44229</v>
      </c>
      <c r="F47" s="132"/>
      <c r="G47" s="132"/>
      <c r="H47" s="132"/>
      <c r="I47" s="133" t="s">
        <v>621</v>
      </c>
      <c r="J47" s="133"/>
      <c r="K47" s="133"/>
      <c r="L47" s="133"/>
      <c r="M47" s="133"/>
      <c r="N47" s="134" t="s">
        <v>687</v>
      </c>
      <c r="O47" s="134"/>
      <c r="P47" s="134" t="s">
        <v>681</v>
      </c>
      <c r="Q47" s="134"/>
      <c r="R47" s="134"/>
      <c r="S47" s="134"/>
      <c r="T47" s="135">
        <v>1168119477</v>
      </c>
      <c r="U47" s="135"/>
      <c r="V47" s="136" t="s">
        <v>618</v>
      </c>
      <c r="W47" s="136"/>
      <c r="X47" s="129">
        <v>700</v>
      </c>
      <c r="Y47" s="129"/>
      <c r="Z47" s="129">
        <v>700</v>
      </c>
      <c r="AA47" s="129"/>
      <c r="AB47" s="129"/>
      <c r="AC47" s="129"/>
      <c r="AD47" s="129">
        <v>0</v>
      </c>
      <c r="AE47" s="129"/>
      <c r="AF47" s="129"/>
      <c r="AG47" s="129"/>
      <c r="AH47" s="129"/>
      <c r="AI47" s="129">
        <v>0</v>
      </c>
      <c r="AJ47" s="129"/>
      <c r="AK47" s="129"/>
    </row>
    <row r="48" spans="3:37" ht="14.85" customHeight="1" x14ac:dyDescent="0.15">
      <c r="C48" s="132">
        <v>44228</v>
      </c>
      <c r="D48" s="132"/>
      <c r="E48" s="132">
        <v>44229</v>
      </c>
      <c r="F48" s="132"/>
      <c r="G48" s="132"/>
      <c r="H48" s="132"/>
      <c r="I48" s="133" t="s">
        <v>665</v>
      </c>
      <c r="J48" s="133"/>
      <c r="K48" s="133"/>
      <c r="L48" s="133"/>
      <c r="M48" s="133"/>
      <c r="N48" s="134" t="s">
        <v>664</v>
      </c>
      <c r="O48" s="134"/>
      <c r="P48" s="134" t="s">
        <v>694</v>
      </c>
      <c r="Q48" s="134"/>
      <c r="R48" s="134"/>
      <c r="S48" s="134"/>
      <c r="T48" s="135">
        <v>1310434836</v>
      </c>
      <c r="U48" s="135"/>
      <c r="V48" s="136" t="s">
        <v>618</v>
      </c>
      <c r="W48" s="136"/>
      <c r="X48" s="129">
        <v>4500</v>
      </c>
      <c r="Y48" s="129"/>
      <c r="Z48" s="129">
        <v>4091</v>
      </c>
      <c r="AA48" s="129"/>
      <c r="AB48" s="129"/>
      <c r="AC48" s="129"/>
      <c r="AD48" s="129">
        <v>409</v>
      </c>
      <c r="AE48" s="129"/>
      <c r="AF48" s="129"/>
      <c r="AG48" s="129"/>
      <c r="AH48" s="129"/>
      <c r="AI48" s="129">
        <v>0</v>
      </c>
      <c r="AJ48" s="129"/>
      <c r="AK48" s="129"/>
    </row>
    <row r="49" spans="3:37" ht="14.85" customHeight="1" x14ac:dyDescent="0.15">
      <c r="C49" s="132">
        <v>44227</v>
      </c>
      <c r="D49" s="132"/>
      <c r="E49" s="132">
        <v>44229</v>
      </c>
      <c r="F49" s="132"/>
      <c r="G49" s="132"/>
      <c r="H49" s="132"/>
      <c r="I49" s="133" t="s">
        <v>665</v>
      </c>
      <c r="J49" s="133"/>
      <c r="K49" s="133"/>
      <c r="L49" s="133"/>
      <c r="M49" s="133"/>
      <c r="N49" s="134" t="s">
        <v>664</v>
      </c>
      <c r="O49" s="134"/>
      <c r="P49" s="134" t="s">
        <v>783</v>
      </c>
      <c r="Q49" s="134"/>
      <c r="R49" s="134"/>
      <c r="S49" s="134"/>
      <c r="T49" s="135">
        <v>1318215327</v>
      </c>
      <c r="U49" s="135"/>
      <c r="V49" s="136" t="s">
        <v>618</v>
      </c>
      <c r="W49" s="136"/>
      <c r="X49" s="129">
        <v>950</v>
      </c>
      <c r="Y49" s="129"/>
      <c r="Z49" s="129">
        <v>950</v>
      </c>
      <c r="AA49" s="129"/>
      <c r="AB49" s="129"/>
      <c r="AC49" s="129"/>
      <c r="AD49" s="129">
        <v>0</v>
      </c>
      <c r="AE49" s="129"/>
      <c r="AF49" s="129"/>
      <c r="AG49" s="129"/>
      <c r="AH49" s="129"/>
      <c r="AI49" s="129">
        <v>0</v>
      </c>
      <c r="AJ49" s="129"/>
      <c r="AK49" s="129"/>
    </row>
    <row r="50" spans="3:37" ht="14.85" customHeight="1" x14ac:dyDescent="0.15">
      <c r="C50" s="132">
        <v>44227</v>
      </c>
      <c r="D50" s="132"/>
      <c r="E50" s="132">
        <v>44229</v>
      </c>
      <c r="F50" s="132"/>
      <c r="G50" s="132"/>
      <c r="H50" s="132"/>
      <c r="I50" s="133" t="s">
        <v>665</v>
      </c>
      <c r="J50" s="133"/>
      <c r="K50" s="133"/>
      <c r="L50" s="133"/>
      <c r="M50" s="133"/>
      <c r="N50" s="134" t="s">
        <v>664</v>
      </c>
      <c r="O50" s="134"/>
      <c r="P50" s="134" t="s">
        <v>789</v>
      </c>
      <c r="Q50" s="134"/>
      <c r="R50" s="134"/>
      <c r="S50" s="134"/>
      <c r="T50" s="135">
        <v>1048183559</v>
      </c>
      <c r="U50" s="135"/>
      <c r="V50" s="136" t="s">
        <v>618</v>
      </c>
      <c r="W50" s="136"/>
      <c r="X50" s="129">
        <v>1250</v>
      </c>
      <c r="Y50" s="129"/>
      <c r="Z50" s="129">
        <v>1250</v>
      </c>
      <c r="AA50" s="129"/>
      <c r="AB50" s="129"/>
      <c r="AC50" s="129"/>
      <c r="AD50" s="129">
        <v>0</v>
      </c>
      <c r="AE50" s="129"/>
      <c r="AF50" s="129"/>
      <c r="AG50" s="129"/>
      <c r="AH50" s="129"/>
      <c r="AI50" s="129">
        <v>0</v>
      </c>
      <c r="AJ50" s="129"/>
      <c r="AK50" s="129"/>
    </row>
    <row r="51" spans="3:37" ht="14.85" customHeight="1" x14ac:dyDescent="0.15">
      <c r="C51" s="132">
        <v>44230</v>
      </c>
      <c r="D51" s="132"/>
      <c r="E51" s="132">
        <v>44230</v>
      </c>
      <c r="F51" s="132"/>
      <c r="G51" s="132"/>
      <c r="H51" s="132"/>
      <c r="I51" s="133" t="s">
        <v>621</v>
      </c>
      <c r="J51" s="133"/>
      <c r="K51" s="133"/>
      <c r="L51" s="133"/>
      <c r="M51" s="133"/>
      <c r="N51" s="134" t="s">
        <v>643</v>
      </c>
      <c r="O51" s="134"/>
      <c r="P51" s="134" t="s">
        <v>656</v>
      </c>
      <c r="Q51" s="134"/>
      <c r="R51" s="134"/>
      <c r="S51" s="134"/>
      <c r="T51" s="136"/>
      <c r="U51" s="136"/>
      <c r="V51" s="136"/>
      <c r="W51" s="136"/>
      <c r="X51" s="129">
        <v>500000</v>
      </c>
      <c r="Y51" s="129"/>
      <c r="Z51" s="129">
        <v>500000</v>
      </c>
      <c r="AA51" s="129"/>
      <c r="AB51" s="129"/>
      <c r="AC51" s="129"/>
      <c r="AD51" s="129">
        <v>0</v>
      </c>
      <c r="AE51" s="129"/>
      <c r="AF51" s="129"/>
      <c r="AG51" s="129"/>
      <c r="AH51" s="129"/>
      <c r="AI51" s="129">
        <v>0</v>
      </c>
      <c r="AJ51" s="129"/>
      <c r="AK51" s="129"/>
    </row>
    <row r="52" spans="3:37" ht="29.65" customHeight="1" x14ac:dyDescent="0.15">
      <c r="V52" s="137" t="s">
        <v>617</v>
      </c>
      <c r="W52" s="137"/>
    </row>
    <row r="53" spans="3:37" ht="14.85" customHeight="1" x14ac:dyDescent="0.15">
      <c r="C53" s="132">
        <v>44230</v>
      </c>
      <c r="D53" s="132"/>
      <c r="E53" s="132">
        <v>44231</v>
      </c>
      <c r="F53" s="132"/>
      <c r="G53" s="132"/>
      <c r="H53" s="132"/>
      <c r="I53" s="133" t="s">
        <v>621</v>
      </c>
      <c r="J53" s="133"/>
      <c r="K53" s="133"/>
      <c r="L53" s="133"/>
      <c r="M53" s="133"/>
      <c r="N53" s="134" t="s">
        <v>687</v>
      </c>
      <c r="O53" s="134"/>
      <c r="P53" s="134" t="s">
        <v>729</v>
      </c>
      <c r="Q53" s="134"/>
      <c r="R53" s="134"/>
      <c r="S53" s="134"/>
      <c r="T53" s="135">
        <v>1313025563</v>
      </c>
      <c r="U53" s="135"/>
      <c r="V53" s="136" t="s">
        <v>618</v>
      </c>
      <c r="W53" s="136"/>
      <c r="X53" s="129">
        <v>48000</v>
      </c>
      <c r="Y53" s="129"/>
      <c r="Z53" s="129">
        <v>43637</v>
      </c>
      <c r="AA53" s="129"/>
      <c r="AB53" s="129"/>
      <c r="AC53" s="129"/>
      <c r="AD53" s="129">
        <v>4363</v>
      </c>
      <c r="AE53" s="129"/>
      <c r="AF53" s="129"/>
      <c r="AG53" s="129"/>
      <c r="AH53" s="129"/>
      <c r="AI53" s="129">
        <v>0</v>
      </c>
      <c r="AJ53" s="129"/>
      <c r="AK53" s="129"/>
    </row>
    <row r="54" spans="3:37" ht="14.85" customHeight="1" x14ac:dyDescent="0.15">
      <c r="C54" s="132">
        <v>44230</v>
      </c>
      <c r="D54" s="132"/>
      <c r="E54" s="132">
        <v>44231</v>
      </c>
      <c r="F54" s="132"/>
      <c r="G54" s="132"/>
      <c r="H54" s="132"/>
      <c r="I54" s="133" t="s">
        <v>621</v>
      </c>
      <c r="J54" s="133"/>
      <c r="K54" s="133"/>
      <c r="L54" s="133"/>
      <c r="M54" s="133"/>
      <c r="N54" s="134" t="s">
        <v>687</v>
      </c>
      <c r="O54" s="134"/>
      <c r="P54" s="134" t="s">
        <v>627</v>
      </c>
      <c r="Q54" s="134"/>
      <c r="R54" s="134"/>
      <c r="S54" s="134"/>
      <c r="T54" s="135">
        <v>2329300384</v>
      </c>
      <c r="U54" s="135"/>
      <c r="V54" s="136" t="s">
        <v>626</v>
      </c>
      <c r="W54" s="136"/>
      <c r="X54" s="129">
        <v>23300</v>
      </c>
      <c r="Y54" s="129"/>
      <c r="Z54" s="129">
        <v>23300</v>
      </c>
      <c r="AA54" s="129"/>
      <c r="AB54" s="129"/>
      <c r="AC54" s="129"/>
      <c r="AD54" s="129">
        <v>0</v>
      </c>
      <c r="AE54" s="129"/>
      <c r="AF54" s="129"/>
      <c r="AG54" s="129"/>
      <c r="AH54" s="129"/>
      <c r="AI54" s="129">
        <v>0</v>
      </c>
      <c r="AJ54" s="129"/>
      <c r="AK54" s="129"/>
    </row>
    <row r="55" spans="3:37" ht="14.85" customHeight="1" x14ac:dyDescent="0.15">
      <c r="C55" s="132">
        <v>44230</v>
      </c>
      <c r="D55" s="132"/>
      <c r="E55" s="132">
        <v>44231</v>
      </c>
      <c r="F55" s="132"/>
      <c r="G55" s="132"/>
      <c r="H55" s="132"/>
      <c r="I55" s="133" t="s">
        <v>621</v>
      </c>
      <c r="J55" s="133"/>
      <c r="K55" s="133"/>
      <c r="L55" s="133"/>
      <c r="M55" s="133"/>
      <c r="N55" s="134" t="s">
        <v>687</v>
      </c>
      <c r="O55" s="134"/>
      <c r="P55" s="134" t="s">
        <v>699</v>
      </c>
      <c r="Q55" s="134"/>
      <c r="R55" s="134"/>
      <c r="S55" s="134"/>
      <c r="T55" s="135">
        <v>3021040377</v>
      </c>
      <c r="U55" s="135"/>
      <c r="V55" s="136" t="s">
        <v>622</v>
      </c>
      <c r="W55" s="136"/>
      <c r="X55" s="129">
        <v>12900</v>
      </c>
      <c r="Y55" s="129"/>
      <c r="Z55" s="129">
        <v>11737</v>
      </c>
      <c r="AA55" s="129"/>
      <c r="AB55" s="129"/>
      <c r="AC55" s="129"/>
      <c r="AD55" s="129">
        <v>1163</v>
      </c>
      <c r="AE55" s="129"/>
      <c r="AF55" s="129"/>
      <c r="AG55" s="129"/>
      <c r="AH55" s="129"/>
      <c r="AI55" s="129">
        <v>0</v>
      </c>
      <c r="AJ55" s="129"/>
      <c r="AK55" s="129"/>
    </row>
    <row r="56" spans="3:37" ht="14.85" customHeight="1" x14ac:dyDescent="0.15">
      <c r="C56" s="132">
        <v>44230</v>
      </c>
      <c r="D56" s="132"/>
      <c r="E56" s="132">
        <v>44231</v>
      </c>
      <c r="F56" s="132"/>
      <c r="G56" s="132"/>
      <c r="H56" s="132"/>
      <c r="I56" s="133" t="s">
        <v>621</v>
      </c>
      <c r="J56" s="133"/>
      <c r="K56" s="133"/>
      <c r="L56" s="133"/>
      <c r="M56" s="133"/>
      <c r="N56" s="134" t="s">
        <v>630</v>
      </c>
      <c r="O56" s="134"/>
      <c r="P56" s="134" t="s">
        <v>690</v>
      </c>
      <c r="Q56" s="134"/>
      <c r="R56" s="134"/>
      <c r="S56" s="134"/>
      <c r="T56" s="135">
        <v>2208139938</v>
      </c>
      <c r="U56" s="135"/>
      <c r="V56" s="136" t="s">
        <v>618</v>
      </c>
      <c r="W56" s="136"/>
      <c r="X56" s="129">
        <v>108730</v>
      </c>
      <c r="Y56" s="129"/>
      <c r="Z56" s="129">
        <v>108730</v>
      </c>
      <c r="AA56" s="129"/>
      <c r="AB56" s="129"/>
      <c r="AC56" s="129"/>
      <c r="AD56" s="129">
        <v>0</v>
      </c>
      <c r="AE56" s="129"/>
      <c r="AF56" s="129"/>
      <c r="AG56" s="129"/>
      <c r="AH56" s="129"/>
      <c r="AI56" s="129">
        <v>0</v>
      </c>
      <c r="AJ56" s="129"/>
      <c r="AK56" s="129"/>
    </row>
    <row r="57" spans="3:37" ht="14.85" customHeight="1" x14ac:dyDescent="0.15">
      <c r="C57" s="132">
        <v>44230</v>
      </c>
      <c r="D57" s="132"/>
      <c r="E57" s="132">
        <v>44232</v>
      </c>
      <c r="F57" s="132"/>
      <c r="G57" s="132"/>
      <c r="H57" s="132"/>
      <c r="I57" s="133" t="s">
        <v>621</v>
      </c>
      <c r="J57" s="133"/>
      <c r="K57" s="133"/>
      <c r="L57" s="133"/>
      <c r="M57" s="133"/>
      <c r="N57" s="134" t="s">
        <v>687</v>
      </c>
      <c r="O57" s="134"/>
      <c r="P57" s="134" t="s">
        <v>692</v>
      </c>
      <c r="Q57" s="134"/>
      <c r="R57" s="134"/>
      <c r="S57" s="134"/>
      <c r="T57" s="135">
        <v>5304900441</v>
      </c>
      <c r="U57" s="135"/>
      <c r="V57" s="136" t="s">
        <v>618</v>
      </c>
      <c r="W57" s="136"/>
      <c r="X57" s="129">
        <v>4500</v>
      </c>
      <c r="Y57" s="129"/>
      <c r="Z57" s="129">
        <v>4091</v>
      </c>
      <c r="AA57" s="129"/>
      <c r="AB57" s="129"/>
      <c r="AC57" s="129"/>
      <c r="AD57" s="129">
        <v>409</v>
      </c>
      <c r="AE57" s="129"/>
      <c r="AF57" s="129"/>
      <c r="AG57" s="129"/>
      <c r="AH57" s="129"/>
      <c r="AI57" s="129">
        <v>0</v>
      </c>
      <c r="AJ57" s="129"/>
      <c r="AK57" s="129"/>
    </row>
    <row r="58" spans="3:37" ht="14.85" customHeight="1" x14ac:dyDescent="0.15">
      <c r="C58" s="132">
        <v>44232</v>
      </c>
      <c r="D58" s="132"/>
      <c r="E58" s="132">
        <v>44233</v>
      </c>
      <c r="F58" s="132"/>
      <c r="G58" s="132"/>
      <c r="H58" s="132"/>
      <c r="I58" s="133" t="s">
        <v>621</v>
      </c>
      <c r="J58" s="133"/>
      <c r="K58" s="133"/>
      <c r="L58" s="133"/>
      <c r="M58" s="133"/>
      <c r="N58" s="134" t="s">
        <v>687</v>
      </c>
      <c r="O58" s="134"/>
      <c r="P58" s="134" t="s">
        <v>625</v>
      </c>
      <c r="Q58" s="134"/>
      <c r="R58" s="134"/>
      <c r="S58" s="134"/>
      <c r="T58" s="135">
        <v>6073354644</v>
      </c>
      <c r="U58" s="135"/>
      <c r="V58" s="136" t="s">
        <v>618</v>
      </c>
      <c r="W58" s="136"/>
      <c r="X58" s="129">
        <v>31600</v>
      </c>
      <c r="Y58" s="129"/>
      <c r="Z58" s="129">
        <v>31600</v>
      </c>
      <c r="AA58" s="129"/>
      <c r="AB58" s="129"/>
      <c r="AC58" s="129"/>
      <c r="AD58" s="129">
        <v>0</v>
      </c>
      <c r="AE58" s="129"/>
      <c r="AF58" s="129"/>
      <c r="AG58" s="129"/>
      <c r="AH58" s="129"/>
      <c r="AI58" s="129">
        <v>0</v>
      </c>
      <c r="AJ58" s="129"/>
      <c r="AK58" s="129"/>
    </row>
    <row r="59" spans="3:37" ht="14.85" customHeight="1" x14ac:dyDescent="0.15">
      <c r="C59" s="132">
        <v>44232</v>
      </c>
      <c r="D59" s="132"/>
      <c r="E59" s="132">
        <v>44233</v>
      </c>
      <c r="F59" s="132"/>
      <c r="G59" s="132"/>
      <c r="H59" s="132"/>
      <c r="I59" s="133" t="s">
        <v>621</v>
      </c>
      <c r="J59" s="133"/>
      <c r="K59" s="133"/>
      <c r="L59" s="133"/>
      <c r="M59" s="133"/>
      <c r="N59" s="134" t="s">
        <v>687</v>
      </c>
      <c r="O59" s="134"/>
      <c r="P59" s="134" t="s">
        <v>627</v>
      </c>
      <c r="Q59" s="134"/>
      <c r="R59" s="134"/>
      <c r="S59" s="134"/>
      <c r="T59" s="135">
        <v>2329300384</v>
      </c>
      <c r="U59" s="135"/>
      <c r="V59" s="136" t="s">
        <v>626</v>
      </c>
      <c r="W59" s="136"/>
      <c r="X59" s="129">
        <v>4400</v>
      </c>
      <c r="Y59" s="129"/>
      <c r="Z59" s="129">
        <v>4400</v>
      </c>
      <c r="AA59" s="129"/>
      <c r="AB59" s="129"/>
      <c r="AC59" s="129"/>
      <c r="AD59" s="129">
        <v>0</v>
      </c>
      <c r="AE59" s="129"/>
      <c r="AF59" s="129"/>
      <c r="AG59" s="129"/>
      <c r="AH59" s="129"/>
      <c r="AI59" s="129">
        <v>0</v>
      </c>
      <c r="AJ59" s="129"/>
      <c r="AK59" s="129"/>
    </row>
    <row r="60" spans="3:37" ht="14.85" customHeight="1" x14ac:dyDescent="0.15">
      <c r="C60" s="132">
        <v>44232</v>
      </c>
      <c r="D60" s="132"/>
      <c r="E60" s="132">
        <v>44233</v>
      </c>
      <c r="F60" s="132"/>
      <c r="G60" s="132"/>
      <c r="H60" s="132"/>
      <c r="I60" s="133" t="s">
        <v>621</v>
      </c>
      <c r="J60" s="133"/>
      <c r="K60" s="133"/>
      <c r="L60" s="133"/>
      <c r="M60" s="133"/>
      <c r="N60" s="134" t="s">
        <v>687</v>
      </c>
      <c r="O60" s="134"/>
      <c r="P60" s="134" t="s">
        <v>699</v>
      </c>
      <c r="Q60" s="134"/>
      <c r="R60" s="134"/>
      <c r="S60" s="134"/>
      <c r="T60" s="135">
        <v>3021040377</v>
      </c>
      <c r="U60" s="135"/>
      <c r="V60" s="136" t="s">
        <v>622</v>
      </c>
      <c r="W60" s="136"/>
      <c r="X60" s="129">
        <v>4500</v>
      </c>
      <c r="Y60" s="129"/>
      <c r="Z60" s="129">
        <v>4091</v>
      </c>
      <c r="AA60" s="129"/>
      <c r="AB60" s="129"/>
      <c r="AC60" s="129"/>
      <c r="AD60" s="129">
        <v>409</v>
      </c>
      <c r="AE60" s="129"/>
      <c r="AF60" s="129"/>
      <c r="AG60" s="129"/>
      <c r="AH60" s="129"/>
      <c r="AI60" s="129">
        <v>0</v>
      </c>
      <c r="AJ60" s="129"/>
      <c r="AK60" s="129"/>
    </row>
    <row r="61" spans="3:37" ht="14.85" customHeight="1" x14ac:dyDescent="0.15">
      <c r="C61" s="132">
        <v>44233</v>
      </c>
      <c r="D61" s="132"/>
      <c r="E61" s="132">
        <v>44234</v>
      </c>
      <c r="F61" s="132"/>
      <c r="G61" s="132"/>
      <c r="H61" s="132"/>
      <c r="I61" s="133" t="s">
        <v>621</v>
      </c>
      <c r="J61" s="133"/>
      <c r="K61" s="133"/>
      <c r="L61" s="133"/>
      <c r="M61" s="133"/>
      <c r="N61" s="134" t="s">
        <v>687</v>
      </c>
      <c r="O61" s="134"/>
      <c r="P61" s="134" t="s">
        <v>645</v>
      </c>
      <c r="Q61" s="134"/>
      <c r="R61" s="134"/>
      <c r="S61" s="134"/>
      <c r="T61" s="135">
        <v>1310578433</v>
      </c>
      <c r="U61" s="135"/>
      <c r="V61" s="136" t="s">
        <v>2143</v>
      </c>
      <c r="W61" s="136"/>
      <c r="X61" s="129">
        <v>15000</v>
      </c>
      <c r="Y61" s="129"/>
      <c r="Z61" s="129">
        <v>13637</v>
      </c>
      <c r="AA61" s="129"/>
      <c r="AB61" s="129"/>
      <c r="AC61" s="129"/>
      <c r="AD61" s="129">
        <v>1363</v>
      </c>
      <c r="AE61" s="129"/>
      <c r="AF61" s="129"/>
      <c r="AG61" s="129"/>
      <c r="AH61" s="129"/>
      <c r="AI61" s="129">
        <v>0</v>
      </c>
      <c r="AJ61" s="129"/>
      <c r="AK61" s="129"/>
    </row>
    <row r="62" spans="3:37" ht="14.85" customHeight="1" x14ac:dyDescent="0.15">
      <c r="C62" s="132">
        <v>44233</v>
      </c>
      <c r="D62" s="132"/>
      <c r="E62" s="132">
        <v>44234</v>
      </c>
      <c r="F62" s="132"/>
      <c r="G62" s="132"/>
      <c r="H62" s="132"/>
      <c r="I62" s="133" t="s">
        <v>621</v>
      </c>
      <c r="J62" s="133"/>
      <c r="K62" s="133"/>
      <c r="L62" s="133"/>
      <c r="M62" s="133"/>
      <c r="N62" s="134" t="s">
        <v>687</v>
      </c>
      <c r="O62" s="134"/>
      <c r="P62" s="134" t="s">
        <v>697</v>
      </c>
      <c r="Q62" s="134"/>
      <c r="R62" s="134"/>
      <c r="S62" s="134"/>
      <c r="T62" s="135">
        <v>5990701264</v>
      </c>
      <c r="U62" s="135"/>
      <c r="V62" s="136" t="s">
        <v>622</v>
      </c>
      <c r="W62" s="136"/>
      <c r="X62" s="129">
        <v>3900</v>
      </c>
      <c r="Y62" s="129"/>
      <c r="Z62" s="129">
        <v>3545</v>
      </c>
      <c r="AA62" s="129"/>
      <c r="AB62" s="129"/>
      <c r="AC62" s="129"/>
      <c r="AD62" s="129">
        <v>355</v>
      </c>
      <c r="AE62" s="129"/>
      <c r="AF62" s="129"/>
      <c r="AG62" s="129"/>
      <c r="AH62" s="129"/>
      <c r="AI62" s="129">
        <v>0</v>
      </c>
      <c r="AJ62" s="129"/>
      <c r="AK62" s="129"/>
    </row>
    <row r="63" spans="3:37" ht="14.85" customHeight="1" x14ac:dyDescent="0.15">
      <c r="C63" s="132">
        <v>44233</v>
      </c>
      <c r="D63" s="132"/>
      <c r="E63" s="132">
        <v>44234</v>
      </c>
      <c r="F63" s="132"/>
      <c r="G63" s="132"/>
      <c r="H63" s="132"/>
      <c r="I63" s="133" t="s">
        <v>621</v>
      </c>
      <c r="J63" s="133"/>
      <c r="K63" s="133"/>
      <c r="L63" s="133"/>
      <c r="M63" s="133"/>
      <c r="N63" s="134" t="s">
        <v>687</v>
      </c>
      <c r="O63" s="134"/>
      <c r="P63" s="134" t="s">
        <v>694</v>
      </c>
      <c r="Q63" s="134"/>
      <c r="R63" s="134"/>
      <c r="S63" s="134"/>
      <c r="T63" s="135">
        <v>1310434836</v>
      </c>
      <c r="U63" s="135"/>
      <c r="V63" s="136" t="s">
        <v>618</v>
      </c>
      <c r="W63" s="136"/>
      <c r="X63" s="129">
        <v>4500</v>
      </c>
      <c r="Y63" s="129"/>
      <c r="Z63" s="129">
        <v>4091</v>
      </c>
      <c r="AA63" s="129"/>
      <c r="AB63" s="129"/>
      <c r="AC63" s="129"/>
      <c r="AD63" s="129">
        <v>409</v>
      </c>
      <c r="AE63" s="129"/>
      <c r="AF63" s="129"/>
      <c r="AG63" s="129"/>
      <c r="AH63" s="129"/>
      <c r="AI63" s="129">
        <v>0</v>
      </c>
      <c r="AJ63" s="129"/>
      <c r="AK63" s="129"/>
    </row>
    <row r="64" spans="3:37" ht="14.85" customHeight="1" x14ac:dyDescent="0.15">
      <c r="C64" s="132">
        <v>44234</v>
      </c>
      <c r="D64" s="132"/>
      <c r="E64" s="132">
        <v>44235</v>
      </c>
      <c r="F64" s="132"/>
      <c r="G64" s="132"/>
      <c r="H64" s="132"/>
      <c r="I64" s="133" t="s">
        <v>621</v>
      </c>
      <c r="J64" s="133"/>
      <c r="K64" s="133"/>
      <c r="L64" s="133"/>
      <c r="M64" s="133"/>
      <c r="N64" s="134" t="s">
        <v>687</v>
      </c>
      <c r="O64" s="134"/>
      <c r="P64" s="134" t="s">
        <v>694</v>
      </c>
      <c r="Q64" s="134"/>
      <c r="R64" s="134"/>
      <c r="S64" s="134"/>
      <c r="T64" s="135">
        <v>1310434836</v>
      </c>
      <c r="U64" s="135"/>
      <c r="V64" s="136" t="s">
        <v>618</v>
      </c>
      <c r="W64" s="136"/>
      <c r="X64" s="129">
        <v>4500</v>
      </c>
      <c r="Y64" s="129"/>
      <c r="Z64" s="129">
        <v>4091</v>
      </c>
      <c r="AA64" s="129"/>
      <c r="AB64" s="129"/>
      <c r="AC64" s="129"/>
      <c r="AD64" s="129">
        <v>409</v>
      </c>
      <c r="AE64" s="129"/>
      <c r="AF64" s="129"/>
      <c r="AG64" s="129"/>
      <c r="AH64" s="129"/>
      <c r="AI64" s="129">
        <v>0</v>
      </c>
      <c r="AJ64" s="129"/>
      <c r="AK64" s="129"/>
    </row>
    <row r="65" spans="3:37" ht="14.85" customHeight="1" x14ac:dyDescent="0.15">
      <c r="C65" s="132">
        <v>44240</v>
      </c>
      <c r="D65" s="132"/>
      <c r="E65" s="132">
        <v>44237</v>
      </c>
      <c r="F65" s="132"/>
      <c r="G65" s="132"/>
      <c r="H65" s="132"/>
      <c r="I65" s="133" t="s">
        <v>621</v>
      </c>
      <c r="J65" s="133"/>
      <c r="K65" s="133"/>
      <c r="L65" s="133"/>
      <c r="M65" s="133"/>
      <c r="N65" s="134" t="s">
        <v>687</v>
      </c>
      <c r="O65" s="134"/>
      <c r="P65" s="134" t="s">
        <v>636</v>
      </c>
      <c r="Q65" s="134"/>
      <c r="R65" s="134"/>
      <c r="S65" s="134"/>
      <c r="T65" s="135">
        <v>2208139938</v>
      </c>
      <c r="U65" s="135"/>
      <c r="V65" s="136" t="s">
        <v>618</v>
      </c>
      <c r="W65" s="136"/>
      <c r="X65" s="129">
        <v>40000</v>
      </c>
      <c r="Y65" s="129"/>
      <c r="Z65" s="129">
        <v>40000</v>
      </c>
      <c r="AA65" s="129"/>
      <c r="AB65" s="129"/>
      <c r="AC65" s="129"/>
      <c r="AD65" s="129">
        <v>0</v>
      </c>
      <c r="AE65" s="129"/>
      <c r="AF65" s="129"/>
      <c r="AG65" s="129"/>
      <c r="AH65" s="129"/>
      <c r="AI65" s="129">
        <v>0</v>
      </c>
      <c r="AJ65" s="129"/>
      <c r="AK65" s="129"/>
    </row>
    <row r="66" spans="3:37" ht="14.85" customHeight="1" x14ac:dyDescent="0.15">
      <c r="C66" s="132">
        <v>44240</v>
      </c>
      <c r="D66" s="132"/>
      <c r="E66" s="132">
        <v>44237</v>
      </c>
      <c r="F66" s="132"/>
      <c r="G66" s="132"/>
      <c r="H66" s="132"/>
      <c r="I66" s="133" t="s">
        <v>621</v>
      </c>
      <c r="J66" s="133"/>
      <c r="K66" s="133"/>
      <c r="L66" s="133"/>
      <c r="M66" s="133"/>
      <c r="N66" s="134" t="s">
        <v>687</v>
      </c>
      <c r="O66" s="134"/>
      <c r="P66" s="134" t="s">
        <v>666</v>
      </c>
      <c r="Q66" s="134"/>
      <c r="R66" s="134"/>
      <c r="S66" s="134"/>
      <c r="T66" s="135">
        <v>2208139938</v>
      </c>
      <c r="U66" s="135"/>
      <c r="V66" s="136" t="s">
        <v>618</v>
      </c>
      <c r="W66" s="136"/>
      <c r="X66" s="129">
        <v>38510</v>
      </c>
      <c r="Y66" s="129"/>
      <c r="Z66" s="129">
        <v>38510</v>
      </c>
      <c r="AA66" s="129"/>
      <c r="AB66" s="129"/>
      <c r="AC66" s="129"/>
      <c r="AD66" s="129">
        <v>0</v>
      </c>
      <c r="AE66" s="129"/>
      <c r="AF66" s="129"/>
      <c r="AG66" s="129"/>
      <c r="AH66" s="129"/>
      <c r="AI66" s="129">
        <v>0</v>
      </c>
      <c r="AJ66" s="129"/>
      <c r="AK66" s="129"/>
    </row>
    <row r="67" spans="3:37" ht="14.85" customHeight="1" x14ac:dyDescent="0.15">
      <c r="C67" s="132">
        <v>44236</v>
      </c>
      <c r="D67" s="132"/>
      <c r="E67" s="132">
        <v>44237</v>
      </c>
      <c r="F67" s="132"/>
      <c r="G67" s="132"/>
      <c r="H67" s="132"/>
      <c r="I67" s="133" t="s">
        <v>621</v>
      </c>
      <c r="J67" s="133"/>
      <c r="K67" s="133"/>
      <c r="L67" s="133"/>
      <c r="M67" s="133"/>
      <c r="N67" s="134" t="s">
        <v>687</v>
      </c>
      <c r="O67" s="134"/>
      <c r="P67" s="134" t="s">
        <v>729</v>
      </c>
      <c r="Q67" s="134"/>
      <c r="R67" s="134"/>
      <c r="S67" s="134"/>
      <c r="T67" s="135">
        <v>1313025563</v>
      </c>
      <c r="U67" s="135"/>
      <c r="V67" s="136" t="s">
        <v>618</v>
      </c>
      <c r="W67" s="136"/>
      <c r="X67" s="129">
        <v>28000</v>
      </c>
      <c r="Y67" s="129"/>
      <c r="Z67" s="129">
        <v>25455</v>
      </c>
      <c r="AA67" s="129"/>
      <c r="AB67" s="129"/>
      <c r="AC67" s="129"/>
      <c r="AD67" s="129">
        <v>2545</v>
      </c>
      <c r="AE67" s="129"/>
      <c r="AF67" s="129"/>
      <c r="AG67" s="129"/>
      <c r="AH67" s="129"/>
      <c r="AI67" s="129">
        <v>0</v>
      </c>
      <c r="AJ67" s="129"/>
      <c r="AK67" s="129"/>
    </row>
    <row r="68" spans="3:37" ht="14.85" customHeight="1" x14ac:dyDescent="0.15">
      <c r="C68" s="132">
        <v>44236</v>
      </c>
      <c r="D68" s="132"/>
      <c r="E68" s="132">
        <v>44237</v>
      </c>
      <c r="F68" s="132"/>
      <c r="G68" s="132"/>
      <c r="H68" s="132"/>
      <c r="I68" s="133" t="s">
        <v>621</v>
      </c>
      <c r="J68" s="133"/>
      <c r="K68" s="133"/>
      <c r="L68" s="133"/>
      <c r="M68" s="133"/>
      <c r="N68" s="134" t="s">
        <v>687</v>
      </c>
      <c r="O68" s="134"/>
      <c r="P68" s="134" t="s">
        <v>697</v>
      </c>
      <c r="Q68" s="134"/>
      <c r="R68" s="134"/>
      <c r="S68" s="134"/>
      <c r="T68" s="135">
        <v>5990701264</v>
      </c>
      <c r="U68" s="135"/>
      <c r="V68" s="136" t="s">
        <v>622</v>
      </c>
      <c r="W68" s="136"/>
      <c r="X68" s="129">
        <v>11300</v>
      </c>
      <c r="Y68" s="129"/>
      <c r="Z68" s="129">
        <v>10273</v>
      </c>
      <c r="AA68" s="129"/>
      <c r="AB68" s="129"/>
      <c r="AC68" s="129"/>
      <c r="AD68" s="129">
        <v>1027</v>
      </c>
      <c r="AE68" s="129"/>
      <c r="AF68" s="129"/>
      <c r="AG68" s="129"/>
      <c r="AH68" s="129"/>
      <c r="AI68" s="129">
        <v>0</v>
      </c>
      <c r="AJ68" s="129"/>
      <c r="AK68" s="129"/>
    </row>
    <row r="69" spans="3:37" ht="14.85" customHeight="1" x14ac:dyDescent="0.15">
      <c r="C69" s="132">
        <v>44236</v>
      </c>
      <c r="D69" s="132"/>
      <c r="E69" s="132">
        <v>44237</v>
      </c>
      <c r="F69" s="132"/>
      <c r="G69" s="132"/>
      <c r="H69" s="132"/>
      <c r="I69" s="133" t="s">
        <v>621</v>
      </c>
      <c r="J69" s="133"/>
      <c r="K69" s="133"/>
      <c r="L69" s="133"/>
      <c r="M69" s="133"/>
      <c r="N69" s="134" t="s">
        <v>687</v>
      </c>
      <c r="O69" s="134"/>
      <c r="P69" s="134" t="s">
        <v>694</v>
      </c>
      <c r="Q69" s="134"/>
      <c r="R69" s="134"/>
      <c r="S69" s="134"/>
      <c r="T69" s="135">
        <v>1310434836</v>
      </c>
      <c r="U69" s="135"/>
      <c r="V69" s="136" t="s">
        <v>618</v>
      </c>
      <c r="W69" s="136"/>
      <c r="X69" s="129">
        <v>4500</v>
      </c>
      <c r="Y69" s="129"/>
      <c r="Z69" s="129">
        <v>4091</v>
      </c>
      <c r="AA69" s="129"/>
      <c r="AB69" s="129"/>
      <c r="AC69" s="129"/>
      <c r="AD69" s="129">
        <v>409</v>
      </c>
      <c r="AE69" s="129"/>
      <c r="AF69" s="129"/>
      <c r="AG69" s="129"/>
      <c r="AH69" s="129"/>
      <c r="AI69" s="129">
        <v>0</v>
      </c>
      <c r="AJ69" s="129"/>
      <c r="AK69" s="129"/>
    </row>
    <row r="70" spans="3:37" ht="14.85" customHeight="1" x14ac:dyDescent="0.15">
      <c r="C70" s="132">
        <v>44237</v>
      </c>
      <c r="D70" s="132"/>
      <c r="E70" s="132">
        <v>44238</v>
      </c>
      <c r="F70" s="132"/>
      <c r="G70" s="132"/>
      <c r="H70" s="132"/>
      <c r="I70" s="133" t="s">
        <v>621</v>
      </c>
      <c r="J70" s="133"/>
      <c r="K70" s="133"/>
      <c r="L70" s="133"/>
      <c r="M70" s="133"/>
      <c r="N70" s="134" t="s">
        <v>687</v>
      </c>
      <c r="O70" s="134"/>
      <c r="P70" s="134" t="s">
        <v>788</v>
      </c>
      <c r="Q70" s="134"/>
      <c r="R70" s="134"/>
      <c r="S70" s="134"/>
      <c r="T70" s="135">
        <v>4641400972</v>
      </c>
      <c r="U70" s="135"/>
      <c r="V70" s="136" t="s">
        <v>622</v>
      </c>
      <c r="W70" s="136"/>
      <c r="X70" s="129">
        <v>4450</v>
      </c>
      <c r="Y70" s="129"/>
      <c r="Z70" s="129">
        <v>4046</v>
      </c>
      <c r="AA70" s="129"/>
      <c r="AB70" s="129"/>
      <c r="AC70" s="129"/>
      <c r="AD70" s="129">
        <v>404</v>
      </c>
      <c r="AE70" s="129"/>
      <c r="AF70" s="129"/>
      <c r="AG70" s="129"/>
      <c r="AH70" s="129"/>
      <c r="AI70" s="129">
        <v>0</v>
      </c>
      <c r="AJ70" s="129"/>
      <c r="AK70" s="129"/>
    </row>
    <row r="71" spans="3:37" ht="14.85" customHeight="1" x14ac:dyDescent="0.15">
      <c r="C71" s="132">
        <v>44238</v>
      </c>
      <c r="D71" s="132"/>
      <c r="E71" s="132">
        <v>44239</v>
      </c>
      <c r="F71" s="132"/>
      <c r="G71" s="132"/>
      <c r="H71" s="132"/>
      <c r="I71" s="133" t="s">
        <v>621</v>
      </c>
      <c r="J71" s="133"/>
      <c r="K71" s="133"/>
      <c r="L71" s="133"/>
      <c r="M71" s="133"/>
      <c r="N71" s="134" t="s">
        <v>687</v>
      </c>
      <c r="O71" s="134"/>
      <c r="P71" s="134" t="s">
        <v>697</v>
      </c>
      <c r="Q71" s="134"/>
      <c r="R71" s="134"/>
      <c r="S71" s="134"/>
      <c r="T71" s="135">
        <v>5990701264</v>
      </c>
      <c r="U71" s="135"/>
      <c r="V71" s="136" t="s">
        <v>622</v>
      </c>
      <c r="W71" s="136"/>
      <c r="X71" s="129">
        <v>3900</v>
      </c>
      <c r="Y71" s="129"/>
      <c r="Z71" s="129">
        <v>3545</v>
      </c>
      <c r="AA71" s="129"/>
      <c r="AB71" s="129"/>
      <c r="AC71" s="129"/>
      <c r="AD71" s="129">
        <v>355</v>
      </c>
      <c r="AE71" s="129"/>
      <c r="AF71" s="129"/>
      <c r="AG71" s="129"/>
      <c r="AH71" s="129"/>
      <c r="AI71" s="129">
        <v>0</v>
      </c>
      <c r="AJ71" s="129"/>
      <c r="AK71" s="129"/>
    </row>
    <row r="72" spans="3:37" ht="14.85" customHeight="1" x14ac:dyDescent="0.15">
      <c r="C72" s="132">
        <v>44239</v>
      </c>
      <c r="D72" s="132"/>
      <c r="E72" s="132">
        <v>44240</v>
      </c>
      <c r="F72" s="132"/>
      <c r="G72" s="132"/>
      <c r="H72" s="132"/>
      <c r="I72" s="133" t="s">
        <v>621</v>
      </c>
      <c r="J72" s="133"/>
      <c r="K72" s="133"/>
      <c r="L72" s="133"/>
      <c r="M72" s="133"/>
      <c r="N72" s="134" t="s">
        <v>687</v>
      </c>
      <c r="O72" s="134"/>
      <c r="P72" s="134" t="s">
        <v>787</v>
      </c>
      <c r="Q72" s="134"/>
      <c r="R72" s="134"/>
      <c r="S72" s="134"/>
      <c r="T72" s="135">
        <v>1312045139</v>
      </c>
      <c r="U72" s="135"/>
      <c r="V72" s="136" t="s">
        <v>618</v>
      </c>
      <c r="W72" s="136"/>
      <c r="X72" s="129">
        <v>22500</v>
      </c>
      <c r="Y72" s="129"/>
      <c r="Z72" s="129">
        <v>20455</v>
      </c>
      <c r="AA72" s="129"/>
      <c r="AB72" s="129"/>
      <c r="AC72" s="129"/>
      <c r="AD72" s="129">
        <v>2045</v>
      </c>
      <c r="AE72" s="129"/>
      <c r="AF72" s="129"/>
      <c r="AG72" s="129"/>
      <c r="AH72" s="129"/>
      <c r="AI72" s="129">
        <v>0</v>
      </c>
      <c r="AJ72" s="129"/>
      <c r="AK72" s="129"/>
    </row>
    <row r="73" spans="3:37" ht="14.85" customHeight="1" x14ac:dyDescent="0.15">
      <c r="C73" s="132">
        <v>44237</v>
      </c>
      <c r="D73" s="132"/>
      <c r="E73" s="132">
        <v>44240</v>
      </c>
      <c r="F73" s="132"/>
      <c r="G73" s="132"/>
      <c r="H73" s="132"/>
      <c r="I73" s="133" t="s">
        <v>621</v>
      </c>
      <c r="J73" s="133"/>
      <c r="K73" s="133"/>
      <c r="L73" s="133"/>
      <c r="M73" s="133"/>
      <c r="N73" s="134" t="s">
        <v>687</v>
      </c>
      <c r="O73" s="134"/>
      <c r="P73" s="134" t="s">
        <v>786</v>
      </c>
      <c r="Q73" s="134"/>
      <c r="R73" s="134"/>
      <c r="S73" s="134"/>
      <c r="T73" s="135">
        <v>1238191588</v>
      </c>
      <c r="U73" s="135"/>
      <c r="V73" s="136" t="s">
        <v>622</v>
      </c>
      <c r="W73" s="136"/>
      <c r="X73" s="129">
        <v>4500</v>
      </c>
      <c r="Y73" s="129"/>
      <c r="Z73" s="129">
        <v>4091</v>
      </c>
      <c r="AA73" s="129"/>
      <c r="AB73" s="129"/>
      <c r="AC73" s="129"/>
      <c r="AD73" s="129">
        <v>409</v>
      </c>
      <c r="AE73" s="129"/>
      <c r="AF73" s="129"/>
      <c r="AG73" s="129"/>
      <c r="AH73" s="129"/>
      <c r="AI73" s="129">
        <v>0</v>
      </c>
      <c r="AJ73" s="129"/>
      <c r="AK73" s="129"/>
    </row>
    <row r="74" spans="3:37" ht="14.85" customHeight="1" x14ac:dyDescent="0.15">
      <c r="C74" s="132">
        <v>44239</v>
      </c>
      <c r="D74" s="132"/>
      <c r="E74" s="132">
        <v>44240</v>
      </c>
      <c r="F74" s="132"/>
      <c r="G74" s="132"/>
      <c r="H74" s="132"/>
      <c r="I74" s="133" t="s">
        <v>621</v>
      </c>
      <c r="J74" s="133"/>
      <c r="K74" s="133"/>
      <c r="L74" s="133"/>
      <c r="M74" s="133"/>
      <c r="N74" s="134" t="s">
        <v>687</v>
      </c>
      <c r="O74" s="134"/>
      <c r="P74" s="134" t="s">
        <v>699</v>
      </c>
      <c r="Q74" s="134"/>
      <c r="R74" s="134"/>
      <c r="S74" s="134"/>
      <c r="T74" s="135">
        <v>3021040377</v>
      </c>
      <c r="U74" s="135"/>
      <c r="V74" s="136" t="s">
        <v>622</v>
      </c>
      <c r="W74" s="136"/>
      <c r="X74" s="129">
        <v>4500</v>
      </c>
      <c r="Y74" s="129"/>
      <c r="Z74" s="129">
        <v>4091</v>
      </c>
      <c r="AA74" s="129"/>
      <c r="AB74" s="129"/>
      <c r="AC74" s="129"/>
      <c r="AD74" s="129">
        <v>409</v>
      </c>
      <c r="AE74" s="129"/>
      <c r="AF74" s="129"/>
      <c r="AG74" s="129"/>
      <c r="AH74" s="129"/>
      <c r="AI74" s="129">
        <v>0</v>
      </c>
      <c r="AJ74" s="129"/>
      <c r="AK74" s="129"/>
    </row>
    <row r="75" spans="3:37" ht="14.85" customHeight="1" x14ac:dyDescent="0.15">
      <c r="C75" s="132">
        <v>44240</v>
      </c>
      <c r="D75" s="132"/>
      <c r="E75" s="132">
        <v>44241</v>
      </c>
      <c r="F75" s="132"/>
      <c r="G75" s="132"/>
      <c r="H75" s="132"/>
      <c r="I75" s="133" t="s">
        <v>665</v>
      </c>
      <c r="J75" s="133"/>
      <c r="K75" s="133"/>
      <c r="L75" s="133"/>
      <c r="M75" s="133"/>
      <c r="N75" s="134" t="s">
        <v>664</v>
      </c>
      <c r="O75" s="134"/>
      <c r="P75" s="134" t="s">
        <v>732</v>
      </c>
      <c r="Q75" s="134"/>
      <c r="R75" s="134"/>
      <c r="S75" s="134"/>
      <c r="T75" s="135">
        <v>7872300450</v>
      </c>
      <c r="U75" s="135"/>
      <c r="V75" s="136" t="s">
        <v>622</v>
      </c>
      <c r="W75" s="136"/>
      <c r="X75" s="129">
        <v>4500</v>
      </c>
      <c r="Y75" s="129"/>
      <c r="Z75" s="129">
        <v>4091</v>
      </c>
      <c r="AA75" s="129"/>
      <c r="AB75" s="129"/>
      <c r="AC75" s="129"/>
      <c r="AD75" s="129">
        <v>409</v>
      </c>
      <c r="AE75" s="129"/>
      <c r="AF75" s="129"/>
      <c r="AG75" s="129"/>
      <c r="AH75" s="129"/>
      <c r="AI75" s="129">
        <v>0</v>
      </c>
      <c r="AJ75" s="129"/>
      <c r="AK75" s="129"/>
    </row>
    <row r="76" spans="3:37" ht="14.85" customHeight="1" x14ac:dyDescent="0.15">
      <c r="C76" s="132">
        <v>44241</v>
      </c>
      <c r="D76" s="132"/>
      <c r="E76" s="132">
        <v>44242</v>
      </c>
      <c r="F76" s="132"/>
      <c r="G76" s="132"/>
      <c r="H76" s="132"/>
      <c r="I76" s="133" t="s">
        <v>621</v>
      </c>
      <c r="J76" s="133"/>
      <c r="K76" s="133"/>
      <c r="L76" s="133"/>
      <c r="M76" s="133"/>
      <c r="N76" s="134" t="s">
        <v>687</v>
      </c>
      <c r="O76" s="134"/>
      <c r="P76" s="134" t="s">
        <v>772</v>
      </c>
      <c r="Q76" s="134"/>
      <c r="R76" s="134"/>
      <c r="S76" s="134"/>
      <c r="T76" s="135">
        <v>1138521083</v>
      </c>
      <c r="U76" s="135"/>
      <c r="V76" s="136" t="s">
        <v>618</v>
      </c>
      <c r="W76" s="136"/>
      <c r="X76" s="129">
        <v>28600</v>
      </c>
      <c r="Y76" s="129"/>
      <c r="Z76" s="129">
        <v>28600</v>
      </c>
      <c r="AA76" s="129"/>
      <c r="AB76" s="129"/>
      <c r="AC76" s="129"/>
      <c r="AD76" s="129">
        <v>0</v>
      </c>
      <c r="AE76" s="129"/>
      <c r="AF76" s="129"/>
      <c r="AG76" s="129"/>
      <c r="AH76" s="129"/>
      <c r="AI76" s="129">
        <v>0</v>
      </c>
      <c r="AJ76" s="129"/>
      <c r="AK76" s="129"/>
    </row>
    <row r="77" spans="3:37" ht="14.85" customHeight="1" x14ac:dyDescent="0.15">
      <c r="C77" s="132">
        <v>44242</v>
      </c>
      <c r="D77" s="132"/>
      <c r="E77" s="132">
        <v>44243</v>
      </c>
      <c r="F77" s="132"/>
      <c r="G77" s="132"/>
      <c r="H77" s="132"/>
      <c r="I77" s="133" t="s">
        <v>621</v>
      </c>
      <c r="J77" s="133"/>
      <c r="K77" s="133"/>
      <c r="L77" s="133"/>
      <c r="M77" s="133"/>
      <c r="N77" s="134" t="s">
        <v>687</v>
      </c>
      <c r="O77" s="134"/>
      <c r="P77" s="134" t="s">
        <v>785</v>
      </c>
      <c r="Q77" s="134"/>
      <c r="R77" s="134"/>
      <c r="S77" s="134"/>
      <c r="T77" s="135">
        <v>7401501192</v>
      </c>
      <c r="U77" s="135"/>
      <c r="V77" s="136" t="s">
        <v>622</v>
      </c>
      <c r="W77" s="136"/>
      <c r="X77" s="129">
        <v>46000</v>
      </c>
      <c r="Y77" s="129"/>
      <c r="Z77" s="129">
        <v>41823</v>
      </c>
      <c r="AA77" s="129"/>
      <c r="AB77" s="129"/>
      <c r="AC77" s="129"/>
      <c r="AD77" s="129">
        <v>4177</v>
      </c>
      <c r="AE77" s="129"/>
      <c r="AF77" s="129"/>
      <c r="AG77" s="129"/>
      <c r="AH77" s="129"/>
      <c r="AI77" s="129">
        <v>0</v>
      </c>
      <c r="AJ77" s="129"/>
      <c r="AK77" s="129"/>
    </row>
    <row r="78" spans="3:37" ht="14.85" customHeight="1" x14ac:dyDescent="0.15">
      <c r="C78" s="132">
        <v>44242</v>
      </c>
      <c r="D78" s="132"/>
      <c r="E78" s="132">
        <v>44243</v>
      </c>
      <c r="F78" s="132"/>
      <c r="G78" s="132"/>
      <c r="H78" s="132"/>
      <c r="I78" s="133" t="s">
        <v>621</v>
      </c>
      <c r="J78" s="133"/>
      <c r="K78" s="133"/>
      <c r="L78" s="133"/>
      <c r="M78" s="133"/>
      <c r="N78" s="134" t="s">
        <v>687</v>
      </c>
      <c r="O78" s="134"/>
      <c r="P78" s="134" t="s">
        <v>694</v>
      </c>
      <c r="Q78" s="134"/>
      <c r="R78" s="134"/>
      <c r="S78" s="134"/>
      <c r="T78" s="135">
        <v>1310434836</v>
      </c>
      <c r="U78" s="135"/>
      <c r="V78" s="136" t="s">
        <v>618</v>
      </c>
      <c r="W78" s="136"/>
      <c r="X78" s="129">
        <v>4500</v>
      </c>
      <c r="Y78" s="129"/>
      <c r="Z78" s="129">
        <v>4091</v>
      </c>
      <c r="AA78" s="129"/>
      <c r="AB78" s="129"/>
      <c r="AC78" s="129"/>
      <c r="AD78" s="129">
        <v>409</v>
      </c>
      <c r="AE78" s="129"/>
      <c r="AF78" s="129"/>
      <c r="AG78" s="129"/>
      <c r="AH78" s="129"/>
      <c r="AI78" s="129">
        <v>0</v>
      </c>
      <c r="AJ78" s="129"/>
      <c r="AK78" s="129"/>
    </row>
    <row r="79" spans="3:37" ht="14.85" customHeight="1" x14ac:dyDescent="0.15">
      <c r="C79" s="132">
        <v>44243</v>
      </c>
      <c r="D79" s="132"/>
      <c r="E79" s="132">
        <v>44244</v>
      </c>
      <c r="F79" s="132"/>
      <c r="G79" s="132"/>
      <c r="H79" s="132"/>
      <c r="I79" s="133" t="s">
        <v>621</v>
      </c>
      <c r="J79" s="133"/>
      <c r="K79" s="133"/>
      <c r="L79" s="133"/>
      <c r="M79" s="133"/>
      <c r="N79" s="134" t="s">
        <v>687</v>
      </c>
      <c r="O79" s="134"/>
      <c r="P79" s="134" t="s">
        <v>681</v>
      </c>
      <c r="Q79" s="134"/>
      <c r="R79" s="134"/>
      <c r="S79" s="134"/>
      <c r="T79" s="135">
        <v>1168119477</v>
      </c>
      <c r="U79" s="135"/>
      <c r="V79" s="136" t="s">
        <v>618</v>
      </c>
      <c r="W79" s="136"/>
      <c r="X79" s="129">
        <v>5600</v>
      </c>
      <c r="Y79" s="129"/>
      <c r="Z79" s="129">
        <v>5600</v>
      </c>
      <c r="AA79" s="129"/>
      <c r="AB79" s="129"/>
      <c r="AC79" s="129"/>
      <c r="AD79" s="129">
        <v>0</v>
      </c>
      <c r="AE79" s="129"/>
      <c r="AF79" s="129"/>
      <c r="AG79" s="129"/>
      <c r="AH79" s="129"/>
      <c r="AI79" s="129">
        <v>0</v>
      </c>
      <c r="AJ79" s="129"/>
      <c r="AK79" s="129"/>
    </row>
    <row r="80" spans="3:37" ht="14.85" customHeight="1" x14ac:dyDescent="0.15">
      <c r="C80" s="132">
        <v>44243</v>
      </c>
      <c r="D80" s="132"/>
      <c r="E80" s="132">
        <v>44244</v>
      </c>
      <c r="F80" s="132"/>
      <c r="G80" s="132"/>
      <c r="H80" s="132"/>
      <c r="I80" s="133" t="s">
        <v>621</v>
      </c>
      <c r="J80" s="133"/>
      <c r="K80" s="133"/>
      <c r="L80" s="133"/>
      <c r="M80" s="133"/>
      <c r="N80" s="134" t="s">
        <v>687</v>
      </c>
      <c r="O80" s="134"/>
      <c r="P80" s="134" t="s">
        <v>694</v>
      </c>
      <c r="Q80" s="134"/>
      <c r="R80" s="134"/>
      <c r="S80" s="134"/>
      <c r="T80" s="135">
        <v>1310434836</v>
      </c>
      <c r="U80" s="135"/>
      <c r="V80" s="136" t="s">
        <v>618</v>
      </c>
      <c r="W80" s="136"/>
      <c r="X80" s="129">
        <v>4500</v>
      </c>
      <c r="Y80" s="129"/>
      <c r="Z80" s="129">
        <v>4091</v>
      </c>
      <c r="AA80" s="129"/>
      <c r="AB80" s="129"/>
      <c r="AC80" s="129"/>
      <c r="AD80" s="129">
        <v>409</v>
      </c>
      <c r="AE80" s="129"/>
      <c r="AF80" s="129"/>
      <c r="AG80" s="129"/>
      <c r="AH80" s="129"/>
      <c r="AI80" s="129">
        <v>0</v>
      </c>
      <c r="AJ80" s="129"/>
      <c r="AK80" s="129"/>
    </row>
    <row r="81" spans="3:37" ht="14.85" customHeight="1" x14ac:dyDescent="0.15">
      <c r="C81" s="132">
        <v>44244</v>
      </c>
      <c r="D81" s="132"/>
      <c r="E81" s="132">
        <v>44245</v>
      </c>
      <c r="F81" s="132"/>
      <c r="G81" s="132"/>
      <c r="H81" s="132"/>
      <c r="I81" s="133" t="s">
        <v>621</v>
      </c>
      <c r="J81" s="133"/>
      <c r="K81" s="133"/>
      <c r="L81" s="133"/>
      <c r="M81" s="133"/>
      <c r="N81" s="134" t="s">
        <v>687</v>
      </c>
      <c r="O81" s="134"/>
      <c r="P81" s="134" t="s">
        <v>784</v>
      </c>
      <c r="Q81" s="134"/>
      <c r="R81" s="134"/>
      <c r="S81" s="134"/>
      <c r="T81" s="135">
        <v>1044165439</v>
      </c>
      <c r="U81" s="135"/>
      <c r="V81" s="136" t="s">
        <v>618</v>
      </c>
      <c r="W81" s="136"/>
      <c r="X81" s="129">
        <v>22500</v>
      </c>
      <c r="Y81" s="129"/>
      <c r="Z81" s="129">
        <v>20455</v>
      </c>
      <c r="AA81" s="129"/>
      <c r="AB81" s="129"/>
      <c r="AC81" s="129"/>
      <c r="AD81" s="129">
        <v>2045</v>
      </c>
      <c r="AE81" s="129"/>
      <c r="AF81" s="129"/>
      <c r="AG81" s="129"/>
      <c r="AH81" s="129"/>
      <c r="AI81" s="129">
        <v>0</v>
      </c>
      <c r="AJ81" s="129"/>
      <c r="AK81" s="129"/>
    </row>
    <row r="82" spans="3:37" ht="14.85" customHeight="1" x14ac:dyDescent="0.15">
      <c r="C82" s="132">
        <v>44244</v>
      </c>
      <c r="D82" s="132"/>
      <c r="E82" s="132">
        <v>44245</v>
      </c>
      <c r="F82" s="132"/>
      <c r="G82" s="132"/>
      <c r="H82" s="132"/>
      <c r="I82" s="133" t="s">
        <v>621</v>
      </c>
      <c r="J82" s="133"/>
      <c r="K82" s="133"/>
      <c r="L82" s="133"/>
      <c r="M82" s="133"/>
      <c r="N82" s="134" t="s">
        <v>687</v>
      </c>
      <c r="O82" s="134"/>
      <c r="P82" s="134" t="s">
        <v>658</v>
      </c>
      <c r="Q82" s="134"/>
      <c r="R82" s="134"/>
      <c r="S82" s="134"/>
      <c r="T82" s="135">
        <v>1119100176</v>
      </c>
      <c r="U82" s="135"/>
      <c r="V82" s="136" t="s">
        <v>626</v>
      </c>
      <c r="W82" s="136"/>
      <c r="X82" s="129">
        <v>11800</v>
      </c>
      <c r="Y82" s="129"/>
      <c r="Z82" s="129">
        <v>11800</v>
      </c>
      <c r="AA82" s="129"/>
      <c r="AB82" s="129"/>
      <c r="AC82" s="129"/>
      <c r="AD82" s="129">
        <v>0</v>
      </c>
      <c r="AE82" s="129"/>
      <c r="AF82" s="129"/>
      <c r="AG82" s="129"/>
      <c r="AH82" s="129"/>
      <c r="AI82" s="129">
        <v>0</v>
      </c>
      <c r="AJ82" s="129"/>
      <c r="AK82" s="129"/>
    </row>
    <row r="83" spans="3:37" ht="14.85" customHeight="1" x14ac:dyDescent="0.15">
      <c r="C83" s="132">
        <v>44244</v>
      </c>
      <c r="D83" s="132"/>
      <c r="E83" s="132">
        <v>44245</v>
      </c>
      <c r="F83" s="132"/>
      <c r="G83" s="132"/>
      <c r="H83" s="132"/>
      <c r="I83" s="133" t="s">
        <v>621</v>
      </c>
      <c r="J83" s="133"/>
      <c r="K83" s="133"/>
      <c r="L83" s="133"/>
      <c r="M83" s="133"/>
      <c r="N83" s="134" t="s">
        <v>687</v>
      </c>
      <c r="O83" s="134"/>
      <c r="P83" s="134" t="s">
        <v>681</v>
      </c>
      <c r="Q83" s="134"/>
      <c r="R83" s="134"/>
      <c r="S83" s="134"/>
      <c r="T83" s="135">
        <v>1168119477</v>
      </c>
      <c r="U83" s="135"/>
      <c r="V83" s="136" t="s">
        <v>618</v>
      </c>
      <c r="W83" s="136"/>
      <c r="X83" s="129">
        <v>1400</v>
      </c>
      <c r="Y83" s="129"/>
      <c r="Z83" s="129">
        <v>1400</v>
      </c>
      <c r="AA83" s="129"/>
      <c r="AB83" s="129"/>
      <c r="AC83" s="129"/>
      <c r="AD83" s="129">
        <v>0</v>
      </c>
      <c r="AE83" s="129"/>
      <c r="AF83" s="129"/>
      <c r="AG83" s="129"/>
      <c r="AH83" s="129"/>
      <c r="AI83" s="129">
        <v>0</v>
      </c>
      <c r="AJ83" s="129"/>
      <c r="AK83" s="129"/>
    </row>
    <row r="84" spans="3:37" ht="14.85" customHeight="1" x14ac:dyDescent="0.15">
      <c r="C84" s="132">
        <v>44245</v>
      </c>
      <c r="D84" s="132"/>
      <c r="E84" s="132">
        <v>44245</v>
      </c>
      <c r="F84" s="132"/>
      <c r="G84" s="132"/>
      <c r="H84" s="132"/>
      <c r="I84" s="133" t="s">
        <v>621</v>
      </c>
      <c r="J84" s="133"/>
      <c r="K84" s="133"/>
      <c r="L84" s="133"/>
      <c r="M84" s="133"/>
      <c r="N84" s="134" t="s">
        <v>643</v>
      </c>
      <c r="O84" s="134"/>
      <c r="P84" s="134" t="s">
        <v>656</v>
      </c>
      <c r="Q84" s="134"/>
      <c r="R84" s="134"/>
      <c r="S84" s="134"/>
      <c r="T84" s="136"/>
      <c r="U84" s="136"/>
      <c r="V84" s="136"/>
      <c r="W84" s="136"/>
      <c r="X84" s="129">
        <v>300000</v>
      </c>
      <c r="Y84" s="129"/>
      <c r="Z84" s="129">
        <v>300000</v>
      </c>
      <c r="AA84" s="129"/>
      <c r="AB84" s="129"/>
      <c r="AC84" s="129"/>
      <c r="AD84" s="129">
        <v>0</v>
      </c>
      <c r="AE84" s="129"/>
      <c r="AF84" s="129"/>
      <c r="AG84" s="129"/>
      <c r="AH84" s="129"/>
      <c r="AI84" s="129">
        <v>0</v>
      </c>
      <c r="AJ84" s="129"/>
      <c r="AK84" s="129"/>
    </row>
    <row r="85" spans="3:37" ht="14.85" customHeight="1" x14ac:dyDescent="0.15">
      <c r="C85" s="132">
        <v>44245</v>
      </c>
      <c r="D85" s="132"/>
      <c r="E85" s="132">
        <v>44247</v>
      </c>
      <c r="F85" s="132"/>
      <c r="G85" s="132"/>
      <c r="H85" s="132"/>
      <c r="I85" s="133" t="s">
        <v>621</v>
      </c>
      <c r="J85" s="133"/>
      <c r="K85" s="133"/>
      <c r="L85" s="133"/>
      <c r="M85" s="133"/>
      <c r="N85" s="134" t="s">
        <v>687</v>
      </c>
      <c r="O85" s="134"/>
      <c r="P85" s="134" t="s">
        <v>692</v>
      </c>
      <c r="Q85" s="134"/>
      <c r="R85" s="134"/>
      <c r="S85" s="134"/>
      <c r="T85" s="135">
        <v>5304900441</v>
      </c>
      <c r="U85" s="135"/>
      <c r="V85" s="136" t="s">
        <v>618</v>
      </c>
      <c r="W85" s="136"/>
      <c r="X85" s="129">
        <v>4500</v>
      </c>
      <c r="Y85" s="129"/>
      <c r="Z85" s="129">
        <v>4091</v>
      </c>
      <c r="AA85" s="129"/>
      <c r="AB85" s="129"/>
      <c r="AC85" s="129"/>
      <c r="AD85" s="129">
        <v>409</v>
      </c>
      <c r="AE85" s="129"/>
      <c r="AF85" s="129"/>
      <c r="AG85" s="129"/>
      <c r="AH85" s="129"/>
      <c r="AI85" s="129">
        <v>0</v>
      </c>
      <c r="AJ85" s="129"/>
      <c r="AK85" s="129"/>
    </row>
    <row r="86" spans="3:37" ht="14.85" customHeight="1" x14ac:dyDescent="0.15">
      <c r="C86" s="132">
        <v>44246</v>
      </c>
      <c r="D86" s="132"/>
      <c r="E86" s="132">
        <v>44247</v>
      </c>
      <c r="F86" s="132"/>
      <c r="G86" s="132"/>
      <c r="H86" s="132"/>
      <c r="I86" s="133" t="s">
        <v>621</v>
      </c>
      <c r="J86" s="133"/>
      <c r="K86" s="133"/>
      <c r="L86" s="133"/>
      <c r="M86" s="133"/>
      <c r="N86" s="134" t="s">
        <v>687</v>
      </c>
      <c r="O86" s="134"/>
      <c r="P86" s="134" t="s">
        <v>732</v>
      </c>
      <c r="Q86" s="134"/>
      <c r="R86" s="134"/>
      <c r="S86" s="134"/>
      <c r="T86" s="135">
        <v>7872300450</v>
      </c>
      <c r="U86" s="135"/>
      <c r="V86" s="136" t="s">
        <v>622</v>
      </c>
      <c r="W86" s="136"/>
      <c r="X86" s="129">
        <v>4500</v>
      </c>
      <c r="Y86" s="129"/>
      <c r="Z86" s="129">
        <v>4091</v>
      </c>
      <c r="AA86" s="129"/>
      <c r="AB86" s="129"/>
      <c r="AC86" s="129"/>
      <c r="AD86" s="129">
        <v>409</v>
      </c>
      <c r="AE86" s="129"/>
      <c r="AF86" s="129"/>
      <c r="AG86" s="129"/>
      <c r="AH86" s="129"/>
      <c r="AI86" s="129">
        <v>0</v>
      </c>
      <c r="AJ86" s="129"/>
      <c r="AK86" s="129"/>
    </row>
    <row r="87" spans="3:37" ht="14.85" customHeight="1" x14ac:dyDescent="0.15">
      <c r="C87" s="132">
        <v>44246</v>
      </c>
      <c r="D87" s="132"/>
      <c r="E87" s="132">
        <v>44247</v>
      </c>
      <c r="F87" s="132"/>
      <c r="G87" s="132"/>
      <c r="H87" s="132"/>
      <c r="I87" s="133" t="s">
        <v>621</v>
      </c>
      <c r="J87" s="133"/>
      <c r="K87" s="133"/>
      <c r="L87" s="133"/>
      <c r="M87" s="133"/>
      <c r="N87" s="134" t="s">
        <v>687</v>
      </c>
      <c r="O87" s="134"/>
      <c r="P87" s="134" t="s">
        <v>681</v>
      </c>
      <c r="Q87" s="134"/>
      <c r="R87" s="134"/>
      <c r="S87" s="134"/>
      <c r="T87" s="135">
        <v>1168119477</v>
      </c>
      <c r="U87" s="135"/>
      <c r="V87" s="136" t="s">
        <v>618</v>
      </c>
      <c r="W87" s="136"/>
      <c r="X87" s="129">
        <v>700</v>
      </c>
      <c r="Y87" s="129"/>
      <c r="Z87" s="129">
        <v>700</v>
      </c>
      <c r="AA87" s="129"/>
      <c r="AB87" s="129"/>
      <c r="AC87" s="129"/>
      <c r="AD87" s="129">
        <v>0</v>
      </c>
      <c r="AE87" s="129"/>
      <c r="AF87" s="129"/>
      <c r="AG87" s="129"/>
      <c r="AH87" s="129"/>
      <c r="AI87" s="129">
        <v>0</v>
      </c>
      <c r="AJ87" s="129"/>
      <c r="AK87" s="129"/>
    </row>
    <row r="88" spans="3:37" ht="14.85" customHeight="1" x14ac:dyDescent="0.15">
      <c r="C88" s="132">
        <v>44247</v>
      </c>
      <c r="D88" s="132"/>
      <c r="E88" s="132">
        <v>44248</v>
      </c>
      <c r="F88" s="132"/>
      <c r="G88" s="132"/>
      <c r="H88" s="132"/>
      <c r="I88" s="133" t="s">
        <v>621</v>
      </c>
      <c r="J88" s="133"/>
      <c r="K88" s="133"/>
      <c r="L88" s="133"/>
      <c r="M88" s="133"/>
      <c r="N88" s="134" t="s">
        <v>687</v>
      </c>
      <c r="O88" s="134"/>
      <c r="P88" s="134" t="s">
        <v>697</v>
      </c>
      <c r="Q88" s="134"/>
      <c r="R88" s="134"/>
      <c r="S88" s="134"/>
      <c r="T88" s="135">
        <v>5990701264</v>
      </c>
      <c r="U88" s="135"/>
      <c r="V88" s="136" t="s">
        <v>622</v>
      </c>
      <c r="W88" s="136"/>
      <c r="X88" s="129">
        <v>3900</v>
      </c>
      <c r="Y88" s="129"/>
      <c r="Z88" s="129">
        <v>3545</v>
      </c>
      <c r="AA88" s="129"/>
      <c r="AB88" s="129"/>
      <c r="AC88" s="129"/>
      <c r="AD88" s="129">
        <v>355</v>
      </c>
      <c r="AE88" s="129"/>
      <c r="AF88" s="129"/>
      <c r="AG88" s="129"/>
      <c r="AH88" s="129"/>
      <c r="AI88" s="129">
        <v>0</v>
      </c>
      <c r="AJ88" s="129"/>
      <c r="AK88" s="129"/>
    </row>
    <row r="89" spans="3:37" ht="14.85" customHeight="1" x14ac:dyDescent="0.15">
      <c r="C89" s="132">
        <v>44248</v>
      </c>
      <c r="D89" s="132"/>
      <c r="E89" s="132">
        <v>44249</v>
      </c>
      <c r="F89" s="132"/>
      <c r="G89" s="132"/>
      <c r="H89" s="132"/>
      <c r="I89" s="133" t="s">
        <v>621</v>
      </c>
      <c r="J89" s="133"/>
      <c r="K89" s="133"/>
      <c r="L89" s="133"/>
      <c r="M89" s="133"/>
      <c r="N89" s="134" t="s">
        <v>687</v>
      </c>
      <c r="O89" s="134"/>
      <c r="P89" s="134" t="s">
        <v>699</v>
      </c>
      <c r="Q89" s="134"/>
      <c r="R89" s="134"/>
      <c r="S89" s="134"/>
      <c r="T89" s="135">
        <v>3021040377</v>
      </c>
      <c r="U89" s="135"/>
      <c r="V89" s="136" t="s">
        <v>622</v>
      </c>
      <c r="W89" s="136"/>
      <c r="X89" s="129">
        <v>9900</v>
      </c>
      <c r="Y89" s="129"/>
      <c r="Z89" s="129">
        <v>9000</v>
      </c>
      <c r="AA89" s="129"/>
      <c r="AB89" s="129"/>
      <c r="AC89" s="129"/>
      <c r="AD89" s="129">
        <v>900</v>
      </c>
      <c r="AE89" s="129"/>
      <c r="AF89" s="129"/>
      <c r="AG89" s="129"/>
      <c r="AH89" s="129"/>
      <c r="AI89" s="129">
        <v>0</v>
      </c>
      <c r="AJ89" s="129"/>
      <c r="AK89" s="129"/>
    </row>
    <row r="90" spans="3:37" ht="14.85" customHeight="1" x14ac:dyDescent="0.15">
      <c r="C90" s="132">
        <v>44249</v>
      </c>
      <c r="D90" s="132"/>
      <c r="E90" s="132">
        <v>44250</v>
      </c>
      <c r="F90" s="132"/>
      <c r="G90" s="132"/>
      <c r="H90" s="132"/>
      <c r="I90" s="133" t="s">
        <v>621</v>
      </c>
      <c r="J90" s="133"/>
      <c r="K90" s="133"/>
      <c r="L90" s="133"/>
      <c r="M90" s="133"/>
      <c r="N90" s="134" t="s">
        <v>687</v>
      </c>
      <c r="O90" s="134"/>
      <c r="P90" s="134" t="s">
        <v>694</v>
      </c>
      <c r="Q90" s="134"/>
      <c r="R90" s="134"/>
      <c r="S90" s="134"/>
      <c r="T90" s="135">
        <v>1310434836</v>
      </c>
      <c r="U90" s="135"/>
      <c r="V90" s="136" t="s">
        <v>618</v>
      </c>
      <c r="W90" s="136"/>
      <c r="X90" s="129">
        <v>4500</v>
      </c>
      <c r="Y90" s="129"/>
      <c r="Z90" s="129">
        <v>4091</v>
      </c>
      <c r="AA90" s="129"/>
      <c r="AB90" s="129"/>
      <c r="AC90" s="129"/>
      <c r="AD90" s="129">
        <v>409</v>
      </c>
      <c r="AE90" s="129"/>
      <c r="AF90" s="129"/>
      <c r="AG90" s="129"/>
      <c r="AH90" s="129"/>
      <c r="AI90" s="129">
        <v>0</v>
      </c>
      <c r="AJ90" s="129"/>
      <c r="AK90" s="129"/>
    </row>
    <row r="91" spans="3:37" ht="14.85" customHeight="1" x14ac:dyDescent="0.15">
      <c r="C91" s="132">
        <v>44251</v>
      </c>
      <c r="D91" s="132"/>
      <c r="E91" s="132">
        <v>44252</v>
      </c>
      <c r="F91" s="132"/>
      <c r="G91" s="132"/>
      <c r="H91" s="132"/>
      <c r="I91" s="133" t="s">
        <v>621</v>
      </c>
      <c r="J91" s="133"/>
      <c r="K91" s="133"/>
      <c r="L91" s="133"/>
      <c r="M91" s="133"/>
      <c r="N91" s="134" t="s">
        <v>687</v>
      </c>
      <c r="O91" s="134"/>
      <c r="P91" s="134" t="s">
        <v>694</v>
      </c>
      <c r="Q91" s="134"/>
      <c r="R91" s="134"/>
      <c r="S91" s="134"/>
      <c r="T91" s="135">
        <v>1310434836</v>
      </c>
      <c r="U91" s="135"/>
      <c r="V91" s="136" t="s">
        <v>618</v>
      </c>
      <c r="W91" s="136"/>
      <c r="X91" s="129">
        <v>4500</v>
      </c>
      <c r="Y91" s="129"/>
      <c r="Z91" s="129">
        <v>4091</v>
      </c>
      <c r="AA91" s="129"/>
      <c r="AB91" s="129"/>
      <c r="AC91" s="129"/>
      <c r="AD91" s="129">
        <v>409</v>
      </c>
      <c r="AE91" s="129"/>
      <c r="AF91" s="129"/>
      <c r="AG91" s="129"/>
      <c r="AH91" s="129"/>
      <c r="AI91" s="129">
        <v>0</v>
      </c>
      <c r="AJ91" s="129"/>
      <c r="AK91" s="129"/>
    </row>
    <row r="92" spans="3:37" ht="14.85" customHeight="1" x14ac:dyDescent="0.15">
      <c r="C92" s="132">
        <v>44252</v>
      </c>
      <c r="D92" s="132"/>
      <c r="E92" s="132">
        <v>44253</v>
      </c>
      <c r="F92" s="132"/>
      <c r="G92" s="132"/>
      <c r="H92" s="132"/>
      <c r="I92" s="133" t="s">
        <v>621</v>
      </c>
      <c r="J92" s="133"/>
      <c r="K92" s="133"/>
      <c r="L92" s="133"/>
      <c r="M92" s="133"/>
      <c r="N92" s="134" t="s">
        <v>687</v>
      </c>
      <c r="O92" s="134"/>
      <c r="P92" s="134" t="s">
        <v>694</v>
      </c>
      <c r="Q92" s="134"/>
      <c r="R92" s="134"/>
      <c r="S92" s="134"/>
      <c r="T92" s="135">
        <v>1310434836</v>
      </c>
      <c r="U92" s="135"/>
      <c r="V92" s="136" t="s">
        <v>618</v>
      </c>
      <c r="W92" s="136"/>
      <c r="X92" s="129">
        <v>4500</v>
      </c>
      <c r="Y92" s="129"/>
      <c r="Z92" s="129">
        <v>4091</v>
      </c>
      <c r="AA92" s="129"/>
      <c r="AB92" s="129"/>
      <c r="AC92" s="129"/>
      <c r="AD92" s="129">
        <v>409</v>
      </c>
      <c r="AE92" s="129"/>
      <c r="AF92" s="129"/>
      <c r="AG92" s="129"/>
      <c r="AH92" s="129"/>
      <c r="AI92" s="129">
        <v>0</v>
      </c>
      <c r="AJ92" s="129"/>
      <c r="AK92" s="129"/>
    </row>
    <row r="93" spans="3:37" ht="29.65" customHeight="1" x14ac:dyDescent="0.15">
      <c r="V93" s="137" t="s">
        <v>617</v>
      </c>
      <c r="W93" s="137"/>
    </row>
    <row r="94" spans="3:37" ht="14.85" customHeight="1" x14ac:dyDescent="0.15">
      <c r="C94" s="132">
        <v>44253</v>
      </c>
      <c r="D94" s="132"/>
      <c r="E94" s="132">
        <v>44254</v>
      </c>
      <c r="F94" s="132"/>
      <c r="G94" s="132"/>
      <c r="H94" s="132"/>
      <c r="I94" s="133" t="s">
        <v>621</v>
      </c>
      <c r="J94" s="133"/>
      <c r="K94" s="133"/>
      <c r="L94" s="133"/>
      <c r="M94" s="133"/>
      <c r="N94" s="134" t="s">
        <v>687</v>
      </c>
      <c r="O94" s="134"/>
      <c r="P94" s="134" t="s">
        <v>694</v>
      </c>
      <c r="Q94" s="134"/>
      <c r="R94" s="134"/>
      <c r="S94" s="134"/>
      <c r="T94" s="135">
        <v>1310434836</v>
      </c>
      <c r="U94" s="135"/>
      <c r="V94" s="136" t="s">
        <v>618</v>
      </c>
      <c r="W94" s="136"/>
      <c r="X94" s="129">
        <v>4500</v>
      </c>
      <c r="Y94" s="129"/>
      <c r="Z94" s="129">
        <v>4091</v>
      </c>
      <c r="AA94" s="129"/>
      <c r="AB94" s="129"/>
      <c r="AC94" s="129"/>
      <c r="AD94" s="129">
        <v>409</v>
      </c>
      <c r="AE94" s="129"/>
      <c r="AF94" s="129"/>
      <c r="AG94" s="129"/>
      <c r="AH94" s="129"/>
      <c r="AI94" s="129">
        <v>0</v>
      </c>
      <c r="AJ94" s="129"/>
      <c r="AK94" s="129"/>
    </row>
    <row r="95" spans="3:37" ht="14.85" customHeight="1" x14ac:dyDescent="0.15">
      <c r="C95" s="132">
        <v>44254</v>
      </c>
      <c r="D95" s="132"/>
      <c r="E95" s="132">
        <v>44255</v>
      </c>
      <c r="F95" s="132"/>
      <c r="G95" s="132"/>
      <c r="H95" s="132"/>
      <c r="I95" s="133" t="s">
        <v>621</v>
      </c>
      <c r="J95" s="133"/>
      <c r="K95" s="133"/>
      <c r="L95" s="133"/>
      <c r="M95" s="133"/>
      <c r="N95" s="134" t="s">
        <v>687</v>
      </c>
      <c r="O95" s="134"/>
      <c r="P95" s="134" t="s">
        <v>694</v>
      </c>
      <c r="Q95" s="134"/>
      <c r="R95" s="134"/>
      <c r="S95" s="134"/>
      <c r="T95" s="135">
        <v>1310434836</v>
      </c>
      <c r="U95" s="135"/>
      <c r="V95" s="136" t="s">
        <v>618</v>
      </c>
      <c r="W95" s="136"/>
      <c r="X95" s="129">
        <v>4500</v>
      </c>
      <c r="Y95" s="129"/>
      <c r="Z95" s="129">
        <v>4091</v>
      </c>
      <c r="AA95" s="129"/>
      <c r="AB95" s="129"/>
      <c r="AC95" s="129"/>
      <c r="AD95" s="129">
        <v>409</v>
      </c>
      <c r="AE95" s="129"/>
      <c r="AF95" s="129"/>
      <c r="AG95" s="129"/>
      <c r="AH95" s="129"/>
      <c r="AI95" s="129">
        <v>0</v>
      </c>
      <c r="AJ95" s="129"/>
      <c r="AK95" s="129"/>
    </row>
    <row r="96" spans="3:37" ht="14.85" customHeight="1" x14ac:dyDescent="0.15">
      <c r="C96" s="132">
        <v>44255</v>
      </c>
      <c r="D96" s="132"/>
      <c r="E96" s="132">
        <v>44256</v>
      </c>
      <c r="F96" s="132"/>
      <c r="G96" s="132"/>
      <c r="H96" s="132"/>
      <c r="I96" s="133" t="s">
        <v>621</v>
      </c>
      <c r="J96" s="133"/>
      <c r="K96" s="133"/>
      <c r="L96" s="133"/>
      <c r="M96" s="133"/>
      <c r="N96" s="134" t="s">
        <v>687</v>
      </c>
      <c r="O96" s="134"/>
      <c r="P96" s="134" t="s">
        <v>699</v>
      </c>
      <c r="Q96" s="134"/>
      <c r="R96" s="134"/>
      <c r="S96" s="134"/>
      <c r="T96" s="135">
        <v>3021040377</v>
      </c>
      <c r="U96" s="135"/>
      <c r="V96" s="136" t="s">
        <v>622</v>
      </c>
      <c r="W96" s="136"/>
      <c r="X96" s="129">
        <v>6000</v>
      </c>
      <c r="Y96" s="129"/>
      <c r="Z96" s="129">
        <v>5455</v>
      </c>
      <c r="AA96" s="129"/>
      <c r="AB96" s="129"/>
      <c r="AC96" s="129"/>
      <c r="AD96" s="129">
        <v>545</v>
      </c>
      <c r="AE96" s="129"/>
      <c r="AF96" s="129"/>
      <c r="AG96" s="129"/>
      <c r="AH96" s="129"/>
      <c r="AI96" s="129">
        <v>0</v>
      </c>
      <c r="AJ96" s="129"/>
      <c r="AK96" s="129"/>
    </row>
    <row r="97" spans="3:37" ht="14.85" customHeight="1" x14ac:dyDescent="0.15">
      <c r="C97" s="132">
        <v>44255</v>
      </c>
      <c r="D97" s="132"/>
      <c r="E97" s="132">
        <v>44257</v>
      </c>
      <c r="F97" s="132"/>
      <c r="G97" s="132"/>
      <c r="H97" s="132"/>
      <c r="I97" s="133" t="s">
        <v>621</v>
      </c>
      <c r="J97" s="133"/>
      <c r="K97" s="133"/>
      <c r="L97" s="133"/>
      <c r="M97" s="133"/>
      <c r="N97" s="134" t="s">
        <v>687</v>
      </c>
      <c r="O97" s="134"/>
      <c r="P97" s="134" t="s">
        <v>681</v>
      </c>
      <c r="Q97" s="134"/>
      <c r="R97" s="134"/>
      <c r="S97" s="134"/>
      <c r="T97" s="135">
        <v>1168119477</v>
      </c>
      <c r="U97" s="135"/>
      <c r="V97" s="136" t="s">
        <v>618</v>
      </c>
      <c r="W97" s="136"/>
      <c r="X97" s="129">
        <v>6300</v>
      </c>
      <c r="Y97" s="129"/>
      <c r="Z97" s="129">
        <v>6300</v>
      </c>
      <c r="AA97" s="129"/>
      <c r="AB97" s="129"/>
      <c r="AC97" s="129"/>
      <c r="AD97" s="129">
        <v>0</v>
      </c>
      <c r="AE97" s="129"/>
      <c r="AF97" s="129"/>
      <c r="AG97" s="129"/>
      <c r="AH97" s="129"/>
      <c r="AI97" s="129">
        <v>0</v>
      </c>
      <c r="AJ97" s="129"/>
      <c r="AK97" s="129"/>
    </row>
    <row r="98" spans="3:37" ht="14.85" customHeight="1" x14ac:dyDescent="0.15">
      <c r="C98" s="132">
        <v>44254</v>
      </c>
      <c r="D98" s="132"/>
      <c r="E98" s="132">
        <v>44257</v>
      </c>
      <c r="F98" s="132"/>
      <c r="G98" s="132"/>
      <c r="H98" s="132"/>
      <c r="I98" s="133" t="s">
        <v>621</v>
      </c>
      <c r="J98" s="133"/>
      <c r="K98" s="133"/>
      <c r="L98" s="133"/>
      <c r="M98" s="133"/>
      <c r="N98" s="134" t="s">
        <v>687</v>
      </c>
      <c r="O98" s="134"/>
      <c r="P98" s="134" t="s">
        <v>681</v>
      </c>
      <c r="Q98" s="134"/>
      <c r="R98" s="134"/>
      <c r="S98" s="134"/>
      <c r="T98" s="135">
        <v>1168119477</v>
      </c>
      <c r="U98" s="135"/>
      <c r="V98" s="136" t="s">
        <v>618</v>
      </c>
      <c r="W98" s="136"/>
      <c r="X98" s="129">
        <v>700</v>
      </c>
      <c r="Y98" s="129"/>
      <c r="Z98" s="129">
        <v>700</v>
      </c>
      <c r="AA98" s="129"/>
      <c r="AB98" s="129"/>
      <c r="AC98" s="129"/>
      <c r="AD98" s="129">
        <v>0</v>
      </c>
      <c r="AE98" s="129"/>
      <c r="AF98" s="129"/>
      <c r="AG98" s="129"/>
      <c r="AH98" s="129"/>
      <c r="AI98" s="129">
        <v>0</v>
      </c>
      <c r="AJ98" s="129"/>
      <c r="AK98" s="129"/>
    </row>
    <row r="99" spans="3:37" ht="14.85" customHeight="1" x14ac:dyDescent="0.15">
      <c r="C99" s="132">
        <v>44256</v>
      </c>
      <c r="D99" s="132"/>
      <c r="E99" s="132">
        <v>44257</v>
      </c>
      <c r="F99" s="132"/>
      <c r="G99" s="132"/>
      <c r="H99" s="132"/>
      <c r="I99" s="133" t="s">
        <v>621</v>
      </c>
      <c r="J99" s="133"/>
      <c r="K99" s="133"/>
      <c r="L99" s="133"/>
      <c r="M99" s="133"/>
      <c r="N99" s="134" t="s">
        <v>687</v>
      </c>
      <c r="O99" s="134"/>
      <c r="P99" s="134" t="s">
        <v>699</v>
      </c>
      <c r="Q99" s="134"/>
      <c r="R99" s="134"/>
      <c r="S99" s="134"/>
      <c r="T99" s="135">
        <v>3021040377</v>
      </c>
      <c r="U99" s="135"/>
      <c r="V99" s="136" t="s">
        <v>622</v>
      </c>
      <c r="W99" s="136"/>
      <c r="X99" s="129">
        <v>3500</v>
      </c>
      <c r="Y99" s="129"/>
      <c r="Z99" s="129">
        <v>3182</v>
      </c>
      <c r="AA99" s="129"/>
      <c r="AB99" s="129"/>
      <c r="AC99" s="129"/>
      <c r="AD99" s="129">
        <v>318</v>
      </c>
      <c r="AE99" s="129"/>
      <c r="AF99" s="129"/>
      <c r="AG99" s="129"/>
      <c r="AH99" s="129"/>
      <c r="AI99" s="129">
        <v>0</v>
      </c>
      <c r="AJ99" s="129"/>
      <c r="AK99" s="129"/>
    </row>
    <row r="100" spans="3:37" ht="14.85" customHeight="1" x14ac:dyDescent="0.15">
      <c r="C100" s="132">
        <v>44227</v>
      </c>
      <c r="D100" s="132"/>
      <c r="E100" s="132">
        <v>44258</v>
      </c>
      <c r="F100" s="132"/>
      <c r="G100" s="132"/>
      <c r="H100" s="132"/>
      <c r="I100" s="133" t="s">
        <v>621</v>
      </c>
      <c r="J100" s="133"/>
      <c r="K100" s="133"/>
      <c r="L100" s="133"/>
      <c r="M100" s="133"/>
      <c r="N100" s="134" t="s">
        <v>687</v>
      </c>
      <c r="O100" s="134"/>
      <c r="P100" s="134" t="s">
        <v>783</v>
      </c>
      <c r="Q100" s="134"/>
      <c r="R100" s="134"/>
      <c r="S100" s="134"/>
      <c r="T100" s="135">
        <v>1318215327</v>
      </c>
      <c r="U100" s="135"/>
      <c r="V100" s="136" t="s">
        <v>618</v>
      </c>
      <c r="W100" s="136"/>
      <c r="X100" s="129">
        <v>3150</v>
      </c>
      <c r="Y100" s="129"/>
      <c r="Z100" s="129">
        <v>3150</v>
      </c>
      <c r="AA100" s="129"/>
      <c r="AB100" s="129"/>
      <c r="AC100" s="129"/>
      <c r="AD100" s="129">
        <v>0</v>
      </c>
      <c r="AE100" s="129"/>
      <c r="AF100" s="129"/>
      <c r="AG100" s="129"/>
      <c r="AH100" s="129"/>
      <c r="AI100" s="129">
        <v>0</v>
      </c>
      <c r="AJ100" s="129"/>
      <c r="AK100" s="129"/>
    </row>
    <row r="101" spans="3:37" ht="14.85" customHeight="1" x14ac:dyDescent="0.15">
      <c r="C101" s="132">
        <v>44256</v>
      </c>
      <c r="D101" s="132"/>
      <c r="E101" s="132">
        <v>44258</v>
      </c>
      <c r="F101" s="132"/>
      <c r="G101" s="132"/>
      <c r="H101" s="132"/>
      <c r="I101" s="133" t="s">
        <v>621</v>
      </c>
      <c r="J101" s="133"/>
      <c r="K101" s="133"/>
      <c r="L101" s="133"/>
      <c r="M101" s="133"/>
      <c r="N101" s="134" t="s">
        <v>687</v>
      </c>
      <c r="O101" s="134"/>
      <c r="P101" s="134" t="s">
        <v>692</v>
      </c>
      <c r="Q101" s="134"/>
      <c r="R101" s="134"/>
      <c r="S101" s="134"/>
      <c r="T101" s="135">
        <v>5304900441</v>
      </c>
      <c r="U101" s="135"/>
      <c r="V101" s="136" t="s">
        <v>618</v>
      </c>
      <c r="W101" s="136"/>
      <c r="X101" s="129">
        <v>6500</v>
      </c>
      <c r="Y101" s="129"/>
      <c r="Z101" s="129">
        <v>5909</v>
      </c>
      <c r="AA101" s="129"/>
      <c r="AB101" s="129"/>
      <c r="AC101" s="129"/>
      <c r="AD101" s="129">
        <v>591</v>
      </c>
      <c r="AE101" s="129"/>
      <c r="AF101" s="129"/>
      <c r="AG101" s="129"/>
      <c r="AH101" s="129"/>
      <c r="AI101" s="129">
        <v>0</v>
      </c>
      <c r="AJ101" s="129"/>
      <c r="AK101" s="129"/>
    </row>
    <row r="102" spans="3:37" ht="14.85" customHeight="1" x14ac:dyDescent="0.15">
      <c r="C102" s="132">
        <v>44257</v>
      </c>
      <c r="D102" s="132"/>
      <c r="E102" s="132">
        <v>44258</v>
      </c>
      <c r="F102" s="132"/>
      <c r="G102" s="132"/>
      <c r="H102" s="132"/>
      <c r="I102" s="133" t="s">
        <v>621</v>
      </c>
      <c r="J102" s="133"/>
      <c r="K102" s="133"/>
      <c r="L102" s="133"/>
      <c r="M102" s="133"/>
      <c r="N102" s="134" t="s">
        <v>687</v>
      </c>
      <c r="O102" s="134"/>
      <c r="P102" s="134" t="s">
        <v>694</v>
      </c>
      <c r="Q102" s="134"/>
      <c r="R102" s="134"/>
      <c r="S102" s="134"/>
      <c r="T102" s="135">
        <v>1310434836</v>
      </c>
      <c r="U102" s="135"/>
      <c r="V102" s="136" t="s">
        <v>618</v>
      </c>
      <c r="W102" s="136"/>
      <c r="X102" s="129">
        <v>4500</v>
      </c>
      <c r="Y102" s="129"/>
      <c r="Z102" s="129">
        <v>4091</v>
      </c>
      <c r="AA102" s="129"/>
      <c r="AB102" s="129"/>
      <c r="AC102" s="129"/>
      <c r="AD102" s="129">
        <v>409</v>
      </c>
      <c r="AE102" s="129"/>
      <c r="AF102" s="129"/>
      <c r="AG102" s="129"/>
      <c r="AH102" s="129"/>
      <c r="AI102" s="129">
        <v>0</v>
      </c>
      <c r="AJ102" s="129"/>
      <c r="AK102" s="129"/>
    </row>
    <row r="103" spans="3:37" ht="14.85" customHeight="1" x14ac:dyDescent="0.15">
      <c r="C103" s="132">
        <v>44227</v>
      </c>
      <c r="D103" s="132"/>
      <c r="E103" s="132">
        <v>44258</v>
      </c>
      <c r="F103" s="132"/>
      <c r="G103" s="132"/>
      <c r="H103" s="132"/>
      <c r="I103" s="133" t="s">
        <v>621</v>
      </c>
      <c r="J103" s="133"/>
      <c r="K103" s="133"/>
      <c r="L103" s="133"/>
      <c r="M103" s="133"/>
      <c r="N103" s="134" t="s">
        <v>620</v>
      </c>
      <c r="O103" s="134"/>
      <c r="P103" s="134" t="s">
        <v>640</v>
      </c>
      <c r="Q103" s="134"/>
      <c r="R103" s="134"/>
      <c r="S103" s="134"/>
      <c r="T103" s="135">
        <v>2028148079</v>
      </c>
      <c r="U103" s="135"/>
      <c r="V103" s="136" t="s">
        <v>618</v>
      </c>
      <c r="W103" s="136"/>
      <c r="X103" s="129">
        <v>200</v>
      </c>
      <c r="Y103" s="129"/>
      <c r="Z103" s="129">
        <v>200</v>
      </c>
      <c r="AA103" s="129"/>
      <c r="AB103" s="129"/>
      <c r="AC103" s="129"/>
      <c r="AD103" s="129">
        <v>0</v>
      </c>
      <c r="AE103" s="129"/>
      <c r="AF103" s="129"/>
      <c r="AG103" s="129"/>
      <c r="AH103" s="129"/>
      <c r="AI103" s="129">
        <v>0</v>
      </c>
      <c r="AJ103" s="129"/>
      <c r="AK103" s="129"/>
    </row>
    <row r="104" spans="3:37" ht="14.85" customHeight="1" x14ac:dyDescent="0.15">
      <c r="C104" s="132">
        <v>44258</v>
      </c>
      <c r="D104" s="132"/>
      <c r="E104" s="132">
        <v>44258</v>
      </c>
      <c r="F104" s="132"/>
      <c r="G104" s="132"/>
      <c r="H104" s="132"/>
      <c r="I104" s="133" t="s">
        <v>621</v>
      </c>
      <c r="J104" s="133"/>
      <c r="K104" s="133"/>
      <c r="L104" s="133"/>
      <c r="M104" s="133"/>
      <c r="N104" s="134" t="s">
        <v>643</v>
      </c>
      <c r="O104" s="134"/>
      <c r="P104" s="134" t="s">
        <v>656</v>
      </c>
      <c r="Q104" s="134"/>
      <c r="R104" s="134"/>
      <c r="S104" s="134"/>
      <c r="T104" s="136"/>
      <c r="U104" s="136"/>
      <c r="V104" s="136"/>
      <c r="W104" s="136"/>
      <c r="X104" s="129">
        <v>50000</v>
      </c>
      <c r="Y104" s="129"/>
      <c r="Z104" s="129">
        <v>50000</v>
      </c>
      <c r="AA104" s="129"/>
      <c r="AB104" s="129"/>
      <c r="AC104" s="129"/>
      <c r="AD104" s="129">
        <v>0</v>
      </c>
      <c r="AE104" s="129"/>
      <c r="AF104" s="129"/>
      <c r="AG104" s="129"/>
      <c r="AH104" s="129"/>
      <c r="AI104" s="129">
        <v>0</v>
      </c>
      <c r="AJ104" s="129"/>
      <c r="AK104" s="129"/>
    </row>
    <row r="105" spans="3:37" ht="14.85" customHeight="1" x14ac:dyDescent="0.15">
      <c r="C105" s="132">
        <v>44259</v>
      </c>
      <c r="D105" s="132"/>
      <c r="E105" s="132">
        <v>44260</v>
      </c>
      <c r="F105" s="132"/>
      <c r="G105" s="132"/>
      <c r="H105" s="132"/>
      <c r="I105" s="133" t="s">
        <v>621</v>
      </c>
      <c r="J105" s="133"/>
      <c r="K105" s="133"/>
      <c r="L105" s="133"/>
      <c r="M105" s="133"/>
      <c r="N105" s="134" t="s">
        <v>687</v>
      </c>
      <c r="O105" s="134"/>
      <c r="P105" s="134" t="s">
        <v>681</v>
      </c>
      <c r="Q105" s="134"/>
      <c r="R105" s="134"/>
      <c r="S105" s="134"/>
      <c r="T105" s="135">
        <v>1168119477</v>
      </c>
      <c r="U105" s="135"/>
      <c r="V105" s="136" t="s">
        <v>618</v>
      </c>
      <c r="W105" s="136"/>
      <c r="X105" s="129">
        <v>700</v>
      </c>
      <c r="Y105" s="129"/>
      <c r="Z105" s="129">
        <v>700</v>
      </c>
      <c r="AA105" s="129"/>
      <c r="AB105" s="129"/>
      <c r="AC105" s="129"/>
      <c r="AD105" s="129">
        <v>0</v>
      </c>
      <c r="AE105" s="129"/>
      <c r="AF105" s="129"/>
      <c r="AG105" s="129"/>
      <c r="AH105" s="129"/>
      <c r="AI105" s="129">
        <v>0</v>
      </c>
      <c r="AJ105" s="129"/>
      <c r="AK105" s="129"/>
    </row>
    <row r="106" spans="3:37" ht="14.85" customHeight="1" x14ac:dyDescent="0.15">
      <c r="C106" s="132">
        <v>44259</v>
      </c>
      <c r="D106" s="132"/>
      <c r="E106" s="132">
        <v>44260</v>
      </c>
      <c r="F106" s="132"/>
      <c r="G106" s="132"/>
      <c r="H106" s="132"/>
      <c r="I106" s="133" t="s">
        <v>621</v>
      </c>
      <c r="J106" s="133"/>
      <c r="K106" s="133"/>
      <c r="L106" s="133"/>
      <c r="M106" s="133"/>
      <c r="N106" s="134" t="s">
        <v>687</v>
      </c>
      <c r="O106" s="134"/>
      <c r="P106" s="134" t="s">
        <v>694</v>
      </c>
      <c r="Q106" s="134"/>
      <c r="R106" s="134"/>
      <c r="S106" s="134"/>
      <c r="T106" s="135">
        <v>1310434836</v>
      </c>
      <c r="U106" s="135"/>
      <c r="V106" s="136" t="s">
        <v>618</v>
      </c>
      <c r="W106" s="136"/>
      <c r="X106" s="129">
        <v>4500</v>
      </c>
      <c r="Y106" s="129"/>
      <c r="Z106" s="129">
        <v>4091</v>
      </c>
      <c r="AA106" s="129"/>
      <c r="AB106" s="129"/>
      <c r="AC106" s="129"/>
      <c r="AD106" s="129">
        <v>409</v>
      </c>
      <c r="AE106" s="129"/>
      <c r="AF106" s="129"/>
      <c r="AG106" s="129"/>
      <c r="AH106" s="129"/>
      <c r="AI106" s="129">
        <v>0</v>
      </c>
      <c r="AJ106" s="129"/>
      <c r="AK106" s="129"/>
    </row>
    <row r="107" spans="3:37" ht="14.85" customHeight="1" x14ac:dyDescent="0.15">
      <c r="C107" s="132">
        <v>44260</v>
      </c>
      <c r="D107" s="132"/>
      <c r="E107" s="132">
        <v>44261</v>
      </c>
      <c r="F107" s="132"/>
      <c r="G107" s="132"/>
      <c r="H107" s="132"/>
      <c r="I107" s="133" t="s">
        <v>621</v>
      </c>
      <c r="J107" s="133"/>
      <c r="K107" s="133"/>
      <c r="L107" s="133"/>
      <c r="M107" s="133"/>
      <c r="N107" s="134" t="s">
        <v>687</v>
      </c>
      <c r="O107" s="134"/>
      <c r="P107" s="134" t="s">
        <v>694</v>
      </c>
      <c r="Q107" s="134"/>
      <c r="R107" s="134"/>
      <c r="S107" s="134"/>
      <c r="T107" s="135">
        <v>1310434836</v>
      </c>
      <c r="U107" s="135"/>
      <c r="V107" s="136" t="s">
        <v>618</v>
      </c>
      <c r="W107" s="136"/>
      <c r="X107" s="129">
        <v>4500</v>
      </c>
      <c r="Y107" s="129"/>
      <c r="Z107" s="129">
        <v>4091</v>
      </c>
      <c r="AA107" s="129"/>
      <c r="AB107" s="129"/>
      <c r="AC107" s="129"/>
      <c r="AD107" s="129">
        <v>409</v>
      </c>
      <c r="AE107" s="129"/>
      <c r="AF107" s="129"/>
      <c r="AG107" s="129"/>
      <c r="AH107" s="129"/>
      <c r="AI107" s="129">
        <v>0</v>
      </c>
      <c r="AJ107" s="129"/>
      <c r="AK107" s="129"/>
    </row>
    <row r="108" spans="3:37" ht="14.85" customHeight="1" x14ac:dyDescent="0.15">
      <c r="C108" s="132">
        <v>44262</v>
      </c>
      <c r="D108" s="132"/>
      <c r="E108" s="132">
        <v>44263</v>
      </c>
      <c r="F108" s="132"/>
      <c r="G108" s="132"/>
      <c r="H108" s="132"/>
      <c r="I108" s="133" t="s">
        <v>621</v>
      </c>
      <c r="J108" s="133"/>
      <c r="K108" s="133"/>
      <c r="L108" s="133"/>
      <c r="M108" s="133"/>
      <c r="N108" s="134" t="s">
        <v>687</v>
      </c>
      <c r="O108" s="134"/>
      <c r="P108" s="134" t="s">
        <v>694</v>
      </c>
      <c r="Q108" s="134"/>
      <c r="R108" s="134"/>
      <c r="S108" s="134"/>
      <c r="T108" s="135">
        <v>1310434836</v>
      </c>
      <c r="U108" s="135"/>
      <c r="V108" s="136" t="s">
        <v>618</v>
      </c>
      <c r="W108" s="136"/>
      <c r="X108" s="129">
        <v>4500</v>
      </c>
      <c r="Y108" s="129"/>
      <c r="Z108" s="129">
        <v>4091</v>
      </c>
      <c r="AA108" s="129"/>
      <c r="AB108" s="129"/>
      <c r="AC108" s="129"/>
      <c r="AD108" s="129">
        <v>409</v>
      </c>
      <c r="AE108" s="129"/>
      <c r="AF108" s="129"/>
      <c r="AG108" s="129"/>
      <c r="AH108" s="129"/>
      <c r="AI108" s="129">
        <v>0</v>
      </c>
      <c r="AJ108" s="129"/>
      <c r="AK108" s="129"/>
    </row>
    <row r="109" spans="3:37" ht="14.85" customHeight="1" x14ac:dyDescent="0.15">
      <c r="C109" s="132">
        <v>44263</v>
      </c>
      <c r="D109" s="132"/>
      <c r="E109" s="132">
        <v>44264</v>
      </c>
      <c r="F109" s="132"/>
      <c r="G109" s="132"/>
      <c r="H109" s="132"/>
      <c r="I109" s="133" t="s">
        <v>665</v>
      </c>
      <c r="J109" s="133"/>
      <c r="K109" s="133"/>
      <c r="L109" s="133"/>
      <c r="M109" s="133"/>
      <c r="N109" s="134" t="s">
        <v>664</v>
      </c>
      <c r="O109" s="134"/>
      <c r="P109" s="134" t="s">
        <v>694</v>
      </c>
      <c r="Q109" s="134"/>
      <c r="R109" s="134"/>
      <c r="S109" s="134"/>
      <c r="T109" s="135">
        <v>1310434836</v>
      </c>
      <c r="U109" s="135"/>
      <c r="V109" s="136" t="s">
        <v>618</v>
      </c>
      <c r="W109" s="136"/>
      <c r="X109" s="129">
        <v>4500</v>
      </c>
      <c r="Y109" s="129"/>
      <c r="Z109" s="129">
        <v>4091</v>
      </c>
      <c r="AA109" s="129"/>
      <c r="AB109" s="129"/>
      <c r="AC109" s="129"/>
      <c r="AD109" s="129">
        <v>409</v>
      </c>
      <c r="AE109" s="129"/>
      <c r="AF109" s="129"/>
      <c r="AG109" s="129"/>
      <c r="AH109" s="129"/>
      <c r="AI109" s="129">
        <v>0</v>
      </c>
      <c r="AJ109" s="129"/>
      <c r="AK109" s="129"/>
    </row>
    <row r="110" spans="3:37" ht="14.85" customHeight="1" x14ac:dyDescent="0.15">
      <c r="C110" s="132">
        <v>44264</v>
      </c>
      <c r="D110" s="132"/>
      <c r="E110" s="132">
        <v>44265</v>
      </c>
      <c r="F110" s="132"/>
      <c r="G110" s="132"/>
      <c r="H110" s="132"/>
      <c r="I110" s="133" t="s">
        <v>621</v>
      </c>
      <c r="J110" s="133"/>
      <c r="K110" s="133"/>
      <c r="L110" s="133"/>
      <c r="M110" s="133"/>
      <c r="N110" s="134" t="s">
        <v>687</v>
      </c>
      <c r="O110" s="134"/>
      <c r="P110" s="134" t="s">
        <v>681</v>
      </c>
      <c r="Q110" s="134"/>
      <c r="R110" s="134"/>
      <c r="S110" s="134"/>
      <c r="T110" s="135">
        <v>1168119477</v>
      </c>
      <c r="U110" s="135"/>
      <c r="V110" s="136" t="s">
        <v>618</v>
      </c>
      <c r="W110" s="136"/>
      <c r="X110" s="129">
        <v>2100</v>
      </c>
      <c r="Y110" s="129"/>
      <c r="Z110" s="129">
        <v>2100</v>
      </c>
      <c r="AA110" s="129"/>
      <c r="AB110" s="129"/>
      <c r="AC110" s="129"/>
      <c r="AD110" s="129">
        <v>0</v>
      </c>
      <c r="AE110" s="129"/>
      <c r="AF110" s="129"/>
      <c r="AG110" s="129"/>
      <c r="AH110" s="129"/>
      <c r="AI110" s="129">
        <v>0</v>
      </c>
      <c r="AJ110" s="129"/>
      <c r="AK110" s="129"/>
    </row>
    <row r="111" spans="3:37" ht="14.85" customHeight="1" x14ac:dyDescent="0.15">
      <c r="C111" s="132">
        <v>44265</v>
      </c>
      <c r="D111" s="132"/>
      <c r="E111" s="132">
        <v>44267</v>
      </c>
      <c r="F111" s="132"/>
      <c r="G111" s="132"/>
      <c r="H111" s="132"/>
      <c r="I111" s="133" t="s">
        <v>768</v>
      </c>
      <c r="J111" s="133"/>
      <c r="K111" s="133"/>
      <c r="L111" s="133"/>
      <c r="M111" s="133"/>
      <c r="N111" s="134" t="s">
        <v>664</v>
      </c>
      <c r="O111" s="134"/>
      <c r="P111" s="134" t="s">
        <v>692</v>
      </c>
      <c r="Q111" s="134"/>
      <c r="R111" s="134"/>
      <c r="S111" s="134"/>
      <c r="T111" s="135">
        <v>5304900441</v>
      </c>
      <c r="U111" s="135"/>
      <c r="V111" s="136" t="s">
        <v>618</v>
      </c>
      <c r="W111" s="136"/>
      <c r="X111" s="129">
        <v>5700</v>
      </c>
      <c r="Y111" s="129"/>
      <c r="Z111" s="129">
        <v>5182</v>
      </c>
      <c r="AA111" s="129"/>
      <c r="AB111" s="129"/>
      <c r="AC111" s="129"/>
      <c r="AD111" s="129">
        <v>518</v>
      </c>
      <c r="AE111" s="129"/>
      <c r="AF111" s="129"/>
      <c r="AG111" s="129"/>
      <c r="AH111" s="129"/>
      <c r="AI111" s="129">
        <v>0</v>
      </c>
      <c r="AJ111" s="129"/>
      <c r="AK111" s="129"/>
    </row>
    <row r="112" spans="3:37" ht="14.85" customHeight="1" x14ac:dyDescent="0.15">
      <c r="C112" s="132">
        <v>44267</v>
      </c>
      <c r="D112" s="132"/>
      <c r="E112" s="132">
        <v>44267</v>
      </c>
      <c r="F112" s="132"/>
      <c r="G112" s="132"/>
      <c r="H112" s="132"/>
      <c r="I112" s="133" t="s">
        <v>621</v>
      </c>
      <c r="J112" s="133"/>
      <c r="K112" s="133"/>
      <c r="L112" s="133"/>
      <c r="M112" s="133"/>
      <c r="N112" s="134" t="s">
        <v>643</v>
      </c>
      <c r="O112" s="134"/>
      <c r="P112" s="134" t="s">
        <v>656</v>
      </c>
      <c r="Q112" s="134"/>
      <c r="R112" s="134"/>
      <c r="S112" s="134"/>
      <c r="T112" s="136"/>
      <c r="U112" s="136"/>
      <c r="V112" s="136"/>
      <c r="W112" s="136"/>
      <c r="X112" s="129">
        <v>150000</v>
      </c>
      <c r="Y112" s="129"/>
      <c r="Z112" s="129">
        <v>150000</v>
      </c>
      <c r="AA112" s="129"/>
      <c r="AB112" s="129"/>
      <c r="AC112" s="129"/>
      <c r="AD112" s="129">
        <v>0</v>
      </c>
      <c r="AE112" s="129"/>
      <c r="AF112" s="129"/>
      <c r="AG112" s="129"/>
      <c r="AH112" s="129"/>
      <c r="AI112" s="129">
        <v>0</v>
      </c>
      <c r="AJ112" s="129"/>
      <c r="AK112" s="129"/>
    </row>
    <row r="113" spans="3:37" ht="14.85" customHeight="1" x14ac:dyDescent="0.15">
      <c r="C113" s="132">
        <v>44267</v>
      </c>
      <c r="D113" s="132"/>
      <c r="E113" s="132">
        <v>44268</v>
      </c>
      <c r="F113" s="132"/>
      <c r="G113" s="132"/>
      <c r="H113" s="132"/>
      <c r="I113" s="133" t="s">
        <v>621</v>
      </c>
      <c r="J113" s="133"/>
      <c r="K113" s="133"/>
      <c r="L113" s="133"/>
      <c r="M113" s="133"/>
      <c r="N113" s="134" t="s">
        <v>687</v>
      </c>
      <c r="O113" s="134"/>
      <c r="P113" s="134" t="s">
        <v>627</v>
      </c>
      <c r="Q113" s="134"/>
      <c r="R113" s="134"/>
      <c r="S113" s="134"/>
      <c r="T113" s="135">
        <v>2329300384</v>
      </c>
      <c r="U113" s="135"/>
      <c r="V113" s="136" t="s">
        <v>626</v>
      </c>
      <c r="W113" s="136"/>
      <c r="X113" s="129">
        <v>4400</v>
      </c>
      <c r="Y113" s="129"/>
      <c r="Z113" s="129">
        <v>4400</v>
      </c>
      <c r="AA113" s="129"/>
      <c r="AB113" s="129"/>
      <c r="AC113" s="129"/>
      <c r="AD113" s="129">
        <v>0</v>
      </c>
      <c r="AE113" s="129"/>
      <c r="AF113" s="129"/>
      <c r="AG113" s="129"/>
      <c r="AH113" s="129"/>
      <c r="AI113" s="129">
        <v>0</v>
      </c>
      <c r="AJ113" s="129"/>
      <c r="AK113" s="129"/>
    </row>
    <row r="114" spans="3:37" ht="14.85" customHeight="1" x14ac:dyDescent="0.15">
      <c r="C114" s="132">
        <v>44267</v>
      </c>
      <c r="D114" s="132"/>
      <c r="E114" s="132">
        <v>44268</v>
      </c>
      <c r="F114" s="132"/>
      <c r="G114" s="132"/>
      <c r="H114" s="132"/>
      <c r="I114" s="133" t="s">
        <v>621</v>
      </c>
      <c r="J114" s="133"/>
      <c r="K114" s="133"/>
      <c r="L114" s="133"/>
      <c r="M114" s="133"/>
      <c r="N114" s="134" t="s">
        <v>687</v>
      </c>
      <c r="O114" s="134"/>
      <c r="P114" s="134" t="s">
        <v>625</v>
      </c>
      <c r="Q114" s="134"/>
      <c r="R114" s="134"/>
      <c r="S114" s="134"/>
      <c r="T114" s="135">
        <v>6073354644</v>
      </c>
      <c r="U114" s="135"/>
      <c r="V114" s="136" t="s">
        <v>618</v>
      </c>
      <c r="W114" s="136"/>
      <c r="X114" s="129">
        <v>31600</v>
      </c>
      <c r="Y114" s="129"/>
      <c r="Z114" s="129">
        <v>31600</v>
      </c>
      <c r="AA114" s="129"/>
      <c r="AB114" s="129"/>
      <c r="AC114" s="129"/>
      <c r="AD114" s="129">
        <v>0</v>
      </c>
      <c r="AE114" s="129"/>
      <c r="AF114" s="129"/>
      <c r="AG114" s="129"/>
      <c r="AH114" s="129"/>
      <c r="AI114" s="129">
        <v>0</v>
      </c>
      <c r="AJ114" s="129"/>
      <c r="AK114" s="129"/>
    </row>
    <row r="115" spans="3:37" ht="14.85" customHeight="1" x14ac:dyDescent="0.15">
      <c r="C115" s="132">
        <v>44267</v>
      </c>
      <c r="D115" s="132"/>
      <c r="E115" s="132">
        <v>44268</v>
      </c>
      <c r="F115" s="132"/>
      <c r="G115" s="132"/>
      <c r="H115" s="132"/>
      <c r="I115" s="133" t="s">
        <v>621</v>
      </c>
      <c r="J115" s="133"/>
      <c r="K115" s="133"/>
      <c r="L115" s="133"/>
      <c r="M115" s="133"/>
      <c r="N115" s="134" t="s">
        <v>687</v>
      </c>
      <c r="O115" s="134"/>
      <c r="P115" s="134" t="s">
        <v>694</v>
      </c>
      <c r="Q115" s="134"/>
      <c r="R115" s="134"/>
      <c r="S115" s="134"/>
      <c r="T115" s="135">
        <v>1310434836</v>
      </c>
      <c r="U115" s="135"/>
      <c r="V115" s="136" t="s">
        <v>618</v>
      </c>
      <c r="W115" s="136"/>
      <c r="X115" s="129">
        <v>4500</v>
      </c>
      <c r="Y115" s="129"/>
      <c r="Z115" s="129">
        <v>4091</v>
      </c>
      <c r="AA115" s="129"/>
      <c r="AB115" s="129"/>
      <c r="AC115" s="129"/>
      <c r="AD115" s="129">
        <v>409</v>
      </c>
      <c r="AE115" s="129"/>
      <c r="AF115" s="129"/>
      <c r="AG115" s="129"/>
      <c r="AH115" s="129"/>
      <c r="AI115" s="129">
        <v>0</v>
      </c>
      <c r="AJ115" s="129"/>
      <c r="AK115" s="129"/>
    </row>
    <row r="116" spans="3:37" ht="14.85" customHeight="1" x14ac:dyDescent="0.15">
      <c r="C116" s="132">
        <v>44267</v>
      </c>
      <c r="D116" s="132"/>
      <c r="E116" s="132">
        <v>44268</v>
      </c>
      <c r="F116" s="132"/>
      <c r="G116" s="132"/>
      <c r="H116" s="132"/>
      <c r="I116" s="133" t="s">
        <v>621</v>
      </c>
      <c r="J116" s="133"/>
      <c r="K116" s="133"/>
      <c r="L116" s="133"/>
      <c r="M116" s="133"/>
      <c r="N116" s="134" t="s">
        <v>630</v>
      </c>
      <c r="O116" s="134"/>
      <c r="P116" s="134" t="s">
        <v>631</v>
      </c>
      <c r="Q116" s="134"/>
      <c r="R116" s="134"/>
      <c r="S116" s="134"/>
      <c r="T116" s="135">
        <v>1168119948</v>
      </c>
      <c r="U116" s="135"/>
      <c r="V116" s="136" t="s">
        <v>618</v>
      </c>
      <c r="W116" s="136"/>
      <c r="X116" s="129">
        <v>179540</v>
      </c>
      <c r="Y116" s="129"/>
      <c r="Z116" s="129">
        <v>163218</v>
      </c>
      <c r="AA116" s="129"/>
      <c r="AB116" s="129"/>
      <c r="AC116" s="129"/>
      <c r="AD116" s="129">
        <v>16322</v>
      </c>
      <c r="AE116" s="129"/>
      <c r="AF116" s="129"/>
      <c r="AG116" s="129"/>
      <c r="AH116" s="129"/>
      <c r="AI116" s="129">
        <v>0</v>
      </c>
      <c r="AJ116" s="129"/>
      <c r="AK116" s="129"/>
    </row>
    <row r="117" spans="3:37" ht="14.85" customHeight="1" x14ac:dyDescent="0.15">
      <c r="C117" s="132">
        <v>44268</v>
      </c>
      <c r="D117" s="132"/>
      <c r="E117" s="132">
        <v>44269</v>
      </c>
      <c r="F117" s="132"/>
      <c r="G117" s="132"/>
      <c r="H117" s="132"/>
      <c r="I117" s="133" t="s">
        <v>621</v>
      </c>
      <c r="J117" s="133"/>
      <c r="K117" s="133"/>
      <c r="L117" s="133"/>
      <c r="M117" s="133"/>
      <c r="N117" s="134" t="s">
        <v>687</v>
      </c>
      <c r="O117" s="134"/>
      <c r="P117" s="134" t="s">
        <v>694</v>
      </c>
      <c r="Q117" s="134"/>
      <c r="R117" s="134"/>
      <c r="S117" s="134"/>
      <c r="T117" s="135">
        <v>1310434836</v>
      </c>
      <c r="U117" s="135"/>
      <c r="V117" s="136" t="s">
        <v>618</v>
      </c>
      <c r="W117" s="136"/>
      <c r="X117" s="129">
        <v>4500</v>
      </c>
      <c r="Y117" s="129"/>
      <c r="Z117" s="129">
        <v>4091</v>
      </c>
      <c r="AA117" s="129"/>
      <c r="AB117" s="129"/>
      <c r="AC117" s="129"/>
      <c r="AD117" s="129">
        <v>409</v>
      </c>
      <c r="AE117" s="129"/>
      <c r="AF117" s="129"/>
      <c r="AG117" s="129"/>
      <c r="AH117" s="129"/>
      <c r="AI117" s="129">
        <v>0</v>
      </c>
      <c r="AJ117" s="129"/>
      <c r="AK117" s="129"/>
    </row>
    <row r="118" spans="3:37" ht="14.85" customHeight="1" x14ac:dyDescent="0.15">
      <c r="C118" s="132">
        <v>44270</v>
      </c>
      <c r="D118" s="132"/>
      <c r="E118" s="132">
        <v>44271</v>
      </c>
      <c r="F118" s="132"/>
      <c r="G118" s="132"/>
      <c r="H118" s="132"/>
      <c r="I118" s="133" t="s">
        <v>621</v>
      </c>
      <c r="J118" s="133"/>
      <c r="K118" s="133"/>
      <c r="L118" s="133"/>
      <c r="M118" s="133"/>
      <c r="N118" s="134" t="s">
        <v>687</v>
      </c>
      <c r="O118" s="134"/>
      <c r="P118" s="134" t="s">
        <v>666</v>
      </c>
      <c r="Q118" s="134"/>
      <c r="R118" s="134"/>
      <c r="S118" s="134"/>
      <c r="T118" s="135">
        <v>2208139938</v>
      </c>
      <c r="U118" s="135"/>
      <c r="V118" s="136" t="s">
        <v>618</v>
      </c>
      <c r="W118" s="136"/>
      <c r="X118" s="129">
        <v>44840</v>
      </c>
      <c r="Y118" s="129"/>
      <c r="Z118" s="129">
        <v>44840</v>
      </c>
      <c r="AA118" s="129"/>
      <c r="AB118" s="129"/>
      <c r="AC118" s="129"/>
      <c r="AD118" s="129">
        <v>0</v>
      </c>
      <c r="AE118" s="129"/>
      <c r="AF118" s="129"/>
      <c r="AG118" s="129"/>
      <c r="AH118" s="129"/>
      <c r="AI118" s="129">
        <v>0</v>
      </c>
      <c r="AJ118" s="129"/>
      <c r="AK118" s="129"/>
    </row>
    <row r="119" spans="3:37" ht="14.85" customHeight="1" x14ac:dyDescent="0.15">
      <c r="C119" s="132">
        <v>44270</v>
      </c>
      <c r="D119" s="132"/>
      <c r="E119" s="132">
        <v>44271</v>
      </c>
      <c r="F119" s="132"/>
      <c r="G119" s="132"/>
      <c r="H119" s="132"/>
      <c r="I119" s="133" t="s">
        <v>621</v>
      </c>
      <c r="J119" s="133"/>
      <c r="K119" s="133"/>
      <c r="L119" s="133"/>
      <c r="M119" s="133"/>
      <c r="N119" s="134" t="s">
        <v>687</v>
      </c>
      <c r="O119" s="134"/>
      <c r="P119" s="134" t="s">
        <v>636</v>
      </c>
      <c r="Q119" s="134"/>
      <c r="R119" s="134"/>
      <c r="S119" s="134"/>
      <c r="T119" s="135">
        <v>2208139938</v>
      </c>
      <c r="U119" s="135"/>
      <c r="V119" s="136" t="s">
        <v>618</v>
      </c>
      <c r="W119" s="136"/>
      <c r="X119" s="129">
        <v>8754</v>
      </c>
      <c r="Y119" s="129"/>
      <c r="Z119" s="129">
        <v>8754</v>
      </c>
      <c r="AA119" s="129"/>
      <c r="AB119" s="129"/>
      <c r="AC119" s="129"/>
      <c r="AD119" s="129">
        <v>0</v>
      </c>
      <c r="AE119" s="129"/>
      <c r="AF119" s="129"/>
      <c r="AG119" s="129"/>
      <c r="AH119" s="129"/>
      <c r="AI119" s="129">
        <v>0</v>
      </c>
      <c r="AJ119" s="129"/>
      <c r="AK119" s="129"/>
    </row>
    <row r="120" spans="3:37" ht="14.85" customHeight="1" x14ac:dyDescent="0.15">
      <c r="C120" s="132">
        <v>44270</v>
      </c>
      <c r="D120" s="132"/>
      <c r="E120" s="132">
        <v>44271</v>
      </c>
      <c r="F120" s="132"/>
      <c r="G120" s="132"/>
      <c r="H120" s="132"/>
      <c r="I120" s="133" t="s">
        <v>621</v>
      </c>
      <c r="J120" s="133"/>
      <c r="K120" s="133"/>
      <c r="L120" s="133"/>
      <c r="M120" s="133"/>
      <c r="N120" s="134" t="s">
        <v>687</v>
      </c>
      <c r="O120" s="134"/>
      <c r="P120" s="134" t="s">
        <v>694</v>
      </c>
      <c r="Q120" s="134"/>
      <c r="R120" s="134"/>
      <c r="S120" s="134"/>
      <c r="T120" s="135">
        <v>1310434836</v>
      </c>
      <c r="U120" s="135"/>
      <c r="V120" s="136" t="s">
        <v>618</v>
      </c>
      <c r="W120" s="136"/>
      <c r="X120" s="129">
        <v>4500</v>
      </c>
      <c r="Y120" s="129"/>
      <c r="Z120" s="129">
        <v>4091</v>
      </c>
      <c r="AA120" s="129"/>
      <c r="AB120" s="129"/>
      <c r="AC120" s="129"/>
      <c r="AD120" s="129">
        <v>409</v>
      </c>
      <c r="AE120" s="129"/>
      <c r="AF120" s="129"/>
      <c r="AG120" s="129"/>
      <c r="AH120" s="129"/>
      <c r="AI120" s="129">
        <v>0</v>
      </c>
      <c r="AJ120" s="129"/>
      <c r="AK120" s="129"/>
    </row>
    <row r="121" spans="3:37" ht="14.85" customHeight="1" x14ac:dyDescent="0.15">
      <c r="C121" s="132">
        <v>44271</v>
      </c>
      <c r="D121" s="132"/>
      <c r="E121" s="132">
        <v>44272</v>
      </c>
      <c r="F121" s="132"/>
      <c r="G121" s="132"/>
      <c r="H121" s="132"/>
      <c r="I121" s="133" t="s">
        <v>621</v>
      </c>
      <c r="J121" s="133"/>
      <c r="K121" s="133"/>
      <c r="L121" s="133"/>
      <c r="M121" s="133"/>
      <c r="N121" s="134" t="s">
        <v>687</v>
      </c>
      <c r="O121" s="134"/>
      <c r="P121" s="134" t="s">
        <v>694</v>
      </c>
      <c r="Q121" s="134"/>
      <c r="R121" s="134"/>
      <c r="S121" s="134"/>
      <c r="T121" s="135">
        <v>1310434836</v>
      </c>
      <c r="U121" s="135"/>
      <c r="V121" s="136" t="s">
        <v>618</v>
      </c>
      <c r="W121" s="136"/>
      <c r="X121" s="129">
        <v>4500</v>
      </c>
      <c r="Y121" s="129"/>
      <c r="Z121" s="129">
        <v>4091</v>
      </c>
      <c r="AA121" s="129"/>
      <c r="AB121" s="129"/>
      <c r="AC121" s="129"/>
      <c r="AD121" s="129">
        <v>409</v>
      </c>
      <c r="AE121" s="129"/>
      <c r="AF121" s="129"/>
      <c r="AG121" s="129"/>
      <c r="AH121" s="129"/>
      <c r="AI121" s="129">
        <v>0</v>
      </c>
      <c r="AJ121" s="129"/>
      <c r="AK121" s="129"/>
    </row>
    <row r="122" spans="3:37" ht="14.85" customHeight="1" x14ac:dyDescent="0.15">
      <c r="C122" s="132">
        <v>44272</v>
      </c>
      <c r="D122" s="132"/>
      <c r="E122" s="132">
        <v>44272</v>
      </c>
      <c r="F122" s="132"/>
      <c r="G122" s="132"/>
      <c r="H122" s="132"/>
      <c r="I122" s="133" t="s">
        <v>621</v>
      </c>
      <c r="J122" s="133"/>
      <c r="K122" s="133"/>
      <c r="L122" s="133"/>
      <c r="M122" s="133"/>
      <c r="N122" s="134" t="s">
        <v>643</v>
      </c>
      <c r="O122" s="134"/>
      <c r="P122" s="134" t="s">
        <v>782</v>
      </c>
      <c r="Q122" s="134"/>
      <c r="R122" s="134"/>
      <c r="S122" s="134"/>
      <c r="T122" s="136"/>
      <c r="U122" s="136"/>
      <c r="V122" s="136"/>
      <c r="W122" s="136"/>
      <c r="X122" s="129">
        <v>500000</v>
      </c>
      <c r="Y122" s="129"/>
      <c r="Z122" s="129">
        <v>500000</v>
      </c>
      <c r="AA122" s="129"/>
      <c r="AB122" s="129"/>
      <c r="AC122" s="129"/>
      <c r="AD122" s="129">
        <v>0</v>
      </c>
      <c r="AE122" s="129"/>
      <c r="AF122" s="129"/>
      <c r="AG122" s="129"/>
      <c r="AH122" s="129"/>
      <c r="AI122" s="129">
        <v>0</v>
      </c>
      <c r="AJ122" s="129"/>
      <c r="AK122" s="129"/>
    </row>
    <row r="123" spans="3:37" ht="14.85" customHeight="1" x14ac:dyDescent="0.15">
      <c r="C123" s="132">
        <v>44272</v>
      </c>
      <c r="D123" s="132"/>
      <c r="E123" s="132">
        <v>44273</v>
      </c>
      <c r="F123" s="132"/>
      <c r="G123" s="132"/>
      <c r="H123" s="132"/>
      <c r="I123" s="133" t="s">
        <v>665</v>
      </c>
      <c r="J123" s="133"/>
      <c r="K123" s="133"/>
      <c r="L123" s="133"/>
      <c r="M123" s="133"/>
      <c r="N123" s="134" t="s">
        <v>664</v>
      </c>
      <c r="O123" s="134"/>
      <c r="P123" s="134" t="s">
        <v>697</v>
      </c>
      <c r="Q123" s="134"/>
      <c r="R123" s="134"/>
      <c r="S123" s="134"/>
      <c r="T123" s="135">
        <v>5990701264</v>
      </c>
      <c r="U123" s="135"/>
      <c r="V123" s="136" t="s">
        <v>622</v>
      </c>
      <c r="W123" s="136"/>
      <c r="X123" s="129">
        <v>12900</v>
      </c>
      <c r="Y123" s="129"/>
      <c r="Z123" s="129">
        <v>11727</v>
      </c>
      <c r="AA123" s="129"/>
      <c r="AB123" s="129"/>
      <c r="AC123" s="129"/>
      <c r="AD123" s="129">
        <v>1173</v>
      </c>
      <c r="AE123" s="129"/>
      <c r="AF123" s="129"/>
      <c r="AG123" s="129"/>
      <c r="AH123" s="129"/>
      <c r="AI123" s="129">
        <v>0</v>
      </c>
      <c r="AJ123" s="129"/>
      <c r="AK123" s="129"/>
    </row>
    <row r="124" spans="3:37" ht="14.85" customHeight="1" x14ac:dyDescent="0.15">
      <c r="C124" s="132">
        <v>44272</v>
      </c>
      <c r="D124" s="132"/>
      <c r="E124" s="132">
        <v>44273</v>
      </c>
      <c r="F124" s="132"/>
      <c r="G124" s="132"/>
      <c r="H124" s="132"/>
      <c r="I124" s="133" t="s">
        <v>621</v>
      </c>
      <c r="J124" s="133"/>
      <c r="K124" s="133"/>
      <c r="L124" s="133"/>
      <c r="M124" s="133"/>
      <c r="N124" s="134" t="s">
        <v>687</v>
      </c>
      <c r="O124" s="134"/>
      <c r="P124" s="134" t="s">
        <v>700</v>
      </c>
      <c r="Q124" s="134"/>
      <c r="R124" s="134"/>
      <c r="S124" s="134"/>
      <c r="T124" s="135">
        <v>3909100110</v>
      </c>
      <c r="U124" s="135"/>
      <c r="V124" s="136" t="s">
        <v>626</v>
      </c>
      <c r="W124" s="136"/>
      <c r="X124" s="129">
        <v>5600</v>
      </c>
      <c r="Y124" s="129"/>
      <c r="Z124" s="129">
        <v>5600</v>
      </c>
      <c r="AA124" s="129"/>
      <c r="AB124" s="129"/>
      <c r="AC124" s="129"/>
      <c r="AD124" s="129">
        <v>0</v>
      </c>
      <c r="AE124" s="129"/>
      <c r="AF124" s="129"/>
      <c r="AG124" s="129"/>
      <c r="AH124" s="129"/>
      <c r="AI124" s="129">
        <v>0</v>
      </c>
      <c r="AJ124" s="129"/>
      <c r="AK124" s="129"/>
    </row>
    <row r="125" spans="3:37" ht="14.85" customHeight="1" x14ac:dyDescent="0.15">
      <c r="C125" s="132">
        <v>44272</v>
      </c>
      <c r="D125" s="132"/>
      <c r="E125" s="132">
        <v>44273</v>
      </c>
      <c r="F125" s="132"/>
      <c r="G125" s="132"/>
      <c r="H125" s="132"/>
      <c r="I125" s="133" t="s">
        <v>621</v>
      </c>
      <c r="J125" s="133"/>
      <c r="K125" s="133"/>
      <c r="L125" s="133"/>
      <c r="M125" s="133"/>
      <c r="N125" s="134" t="s">
        <v>687</v>
      </c>
      <c r="O125" s="134"/>
      <c r="P125" s="134" t="s">
        <v>673</v>
      </c>
      <c r="Q125" s="134"/>
      <c r="R125" s="134"/>
      <c r="S125" s="134"/>
      <c r="T125" s="135">
        <v>1318553360</v>
      </c>
      <c r="U125" s="135"/>
      <c r="V125" s="136" t="s">
        <v>618</v>
      </c>
      <c r="W125" s="136"/>
      <c r="X125" s="129">
        <v>19290</v>
      </c>
      <c r="Y125" s="129"/>
      <c r="Z125" s="129">
        <v>19290</v>
      </c>
      <c r="AA125" s="129"/>
      <c r="AB125" s="129"/>
      <c r="AC125" s="129"/>
      <c r="AD125" s="129">
        <v>0</v>
      </c>
      <c r="AE125" s="129"/>
      <c r="AF125" s="129"/>
      <c r="AG125" s="129"/>
      <c r="AH125" s="129"/>
      <c r="AI125" s="129">
        <v>0</v>
      </c>
      <c r="AJ125" s="129"/>
      <c r="AK125" s="129"/>
    </row>
    <row r="126" spans="3:37" ht="14.85" customHeight="1" x14ac:dyDescent="0.15">
      <c r="C126" s="132">
        <v>44272</v>
      </c>
      <c r="D126" s="132"/>
      <c r="E126" s="132">
        <v>44273</v>
      </c>
      <c r="F126" s="132"/>
      <c r="G126" s="132"/>
      <c r="H126" s="132"/>
      <c r="I126" s="133" t="s">
        <v>621</v>
      </c>
      <c r="J126" s="133"/>
      <c r="K126" s="133"/>
      <c r="L126" s="133"/>
      <c r="M126" s="133"/>
      <c r="N126" s="134" t="s">
        <v>687</v>
      </c>
      <c r="O126" s="134"/>
      <c r="P126" s="134" t="s">
        <v>658</v>
      </c>
      <c r="Q126" s="134"/>
      <c r="R126" s="134"/>
      <c r="S126" s="134"/>
      <c r="T126" s="135">
        <v>1119100176</v>
      </c>
      <c r="U126" s="135"/>
      <c r="V126" s="136" t="s">
        <v>626</v>
      </c>
      <c r="W126" s="136"/>
      <c r="X126" s="129">
        <v>11900</v>
      </c>
      <c r="Y126" s="129"/>
      <c r="Z126" s="129">
        <v>11900</v>
      </c>
      <c r="AA126" s="129"/>
      <c r="AB126" s="129"/>
      <c r="AC126" s="129"/>
      <c r="AD126" s="129">
        <v>0</v>
      </c>
      <c r="AE126" s="129"/>
      <c r="AF126" s="129"/>
      <c r="AG126" s="129"/>
      <c r="AH126" s="129"/>
      <c r="AI126" s="129">
        <v>0</v>
      </c>
      <c r="AJ126" s="129"/>
      <c r="AK126" s="129"/>
    </row>
    <row r="127" spans="3:37" ht="14.85" customHeight="1" x14ac:dyDescent="0.15">
      <c r="C127" s="132">
        <v>44272</v>
      </c>
      <c r="D127" s="132"/>
      <c r="E127" s="132">
        <v>44273</v>
      </c>
      <c r="F127" s="132"/>
      <c r="G127" s="132"/>
      <c r="H127" s="132"/>
      <c r="I127" s="133" t="s">
        <v>621</v>
      </c>
      <c r="J127" s="133"/>
      <c r="K127" s="133"/>
      <c r="L127" s="133"/>
      <c r="M127" s="133"/>
      <c r="N127" s="134" t="s">
        <v>687</v>
      </c>
      <c r="O127" s="134"/>
      <c r="P127" s="134" t="s">
        <v>781</v>
      </c>
      <c r="Q127" s="134"/>
      <c r="R127" s="134"/>
      <c r="S127" s="134"/>
      <c r="T127" s="135">
        <v>1390158243</v>
      </c>
      <c r="U127" s="135"/>
      <c r="V127" s="136" t="s">
        <v>618</v>
      </c>
      <c r="W127" s="136"/>
      <c r="X127" s="129">
        <v>3400</v>
      </c>
      <c r="Y127" s="129"/>
      <c r="Z127" s="129">
        <v>3400</v>
      </c>
      <c r="AA127" s="129"/>
      <c r="AB127" s="129"/>
      <c r="AC127" s="129"/>
      <c r="AD127" s="129">
        <v>0</v>
      </c>
      <c r="AE127" s="129"/>
      <c r="AF127" s="129"/>
      <c r="AG127" s="129"/>
      <c r="AH127" s="129"/>
      <c r="AI127" s="129">
        <v>0</v>
      </c>
      <c r="AJ127" s="129"/>
      <c r="AK127" s="129"/>
    </row>
    <row r="128" spans="3:37" ht="14.85" customHeight="1" x14ac:dyDescent="0.15">
      <c r="C128" s="132">
        <v>44273</v>
      </c>
      <c r="D128" s="132"/>
      <c r="E128" s="132">
        <v>44274</v>
      </c>
      <c r="F128" s="132"/>
      <c r="G128" s="132"/>
      <c r="H128" s="132"/>
      <c r="I128" s="133" t="s">
        <v>621</v>
      </c>
      <c r="J128" s="133"/>
      <c r="K128" s="133"/>
      <c r="L128" s="133"/>
      <c r="M128" s="133"/>
      <c r="N128" s="134" t="s">
        <v>687</v>
      </c>
      <c r="O128" s="134"/>
      <c r="P128" s="134" t="s">
        <v>681</v>
      </c>
      <c r="Q128" s="134"/>
      <c r="R128" s="134"/>
      <c r="S128" s="134"/>
      <c r="T128" s="135">
        <v>1168119477</v>
      </c>
      <c r="U128" s="135"/>
      <c r="V128" s="136" t="s">
        <v>618</v>
      </c>
      <c r="W128" s="136"/>
      <c r="X128" s="129">
        <v>1000</v>
      </c>
      <c r="Y128" s="129"/>
      <c r="Z128" s="129">
        <v>1000</v>
      </c>
      <c r="AA128" s="129"/>
      <c r="AB128" s="129"/>
      <c r="AC128" s="129"/>
      <c r="AD128" s="129">
        <v>0</v>
      </c>
      <c r="AE128" s="129"/>
      <c r="AF128" s="129"/>
      <c r="AG128" s="129"/>
      <c r="AH128" s="129"/>
      <c r="AI128" s="129">
        <v>0</v>
      </c>
      <c r="AJ128" s="129"/>
      <c r="AK128" s="129"/>
    </row>
    <row r="129" spans="3:37" ht="14.85" customHeight="1" x14ac:dyDescent="0.15">
      <c r="C129" s="132">
        <v>44274</v>
      </c>
      <c r="D129" s="132"/>
      <c r="E129" s="132">
        <v>44275</v>
      </c>
      <c r="F129" s="132"/>
      <c r="G129" s="132"/>
      <c r="H129" s="132"/>
      <c r="I129" s="133" t="s">
        <v>621</v>
      </c>
      <c r="J129" s="133"/>
      <c r="K129" s="133"/>
      <c r="L129" s="133"/>
      <c r="M129" s="133"/>
      <c r="N129" s="134" t="s">
        <v>687</v>
      </c>
      <c r="O129" s="134"/>
      <c r="P129" s="134" t="s">
        <v>694</v>
      </c>
      <c r="Q129" s="134"/>
      <c r="R129" s="134"/>
      <c r="S129" s="134"/>
      <c r="T129" s="135">
        <v>1310434836</v>
      </c>
      <c r="U129" s="135"/>
      <c r="V129" s="136" t="s">
        <v>618</v>
      </c>
      <c r="W129" s="136"/>
      <c r="X129" s="129">
        <v>4500</v>
      </c>
      <c r="Y129" s="129"/>
      <c r="Z129" s="129">
        <v>4091</v>
      </c>
      <c r="AA129" s="129"/>
      <c r="AB129" s="129"/>
      <c r="AC129" s="129"/>
      <c r="AD129" s="129">
        <v>409</v>
      </c>
      <c r="AE129" s="129"/>
      <c r="AF129" s="129"/>
      <c r="AG129" s="129"/>
      <c r="AH129" s="129"/>
      <c r="AI129" s="129">
        <v>0</v>
      </c>
      <c r="AJ129" s="129"/>
      <c r="AK129" s="129"/>
    </row>
    <row r="130" spans="3:37" ht="14.85" customHeight="1" x14ac:dyDescent="0.15">
      <c r="C130" s="132">
        <v>44274</v>
      </c>
      <c r="D130" s="132"/>
      <c r="E130" s="132">
        <v>44275</v>
      </c>
      <c r="F130" s="132"/>
      <c r="G130" s="132"/>
      <c r="H130" s="132"/>
      <c r="I130" s="133" t="s">
        <v>621</v>
      </c>
      <c r="J130" s="133"/>
      <c r="K130" s="133"/>
      <c r="L130" s="133"/>
      <c r="M130" s="133"/>
      <c r="N130" s="134" t="s">
        <v>687</v>
      </c>
      <c r="O130" s="134"/>
      <c r="P130" s="134" t="s">
        <v>699</v>
      </c>
      <c r="Q130" s="134"/>
      <c r="R130" s="134"/>
      <c r="S130" s="134"/>
      <c r="T130" s="135">
        <v>3021040377</v>
      </c>
      <c r="U130" s="135"/>
      <c r="V130" s="136" t="s">
        <v>622</v>
      </c>
      <c r="W130" s="136"/>
      <c r="X130" s="129">
        <v>3000</v>
      </c>
      <c r="Y130" s="129"/>
      <c r="Z130" s="129">
        <v>2727</v>
      </c>
      <c r="AA130" s="129"/>
      <c r="AB130" s="129"/>
      <c r="AC130" s="129"/>
      <c r="AD130" s="129">
        <v>273</v>
      </c>
      <c r="AE130" s="129"/>
      <c r="AF130" s="129"/>
      <c r="AG130" s="129"/>
      <c r="AH130" s="129"/>
      <c r="AI130" s="129">
        <v>0</v>
      </c>
      <c r="AJ130" s="129"/>
      <c r="AK130" s="129"/>
    </row>
    <row r="131" spans="3:37" ht="14.85" customHeight="1" x14ac:dyDescent="0.15">
      <c r="C131" s="132">
        <v>44275</v>
      </c>
      <c r="D131" s="132"/>
      <c r="E131" s="132">
        <v>44276</v>
      </c>
      <c r="F131" s="132"/>
      <c r="G131" s="132"/>
      <c r="H131" s="132"/>
      <c r="I131" s="133" t="s">
        <v>621</v>
      </c>
      <c r="J131" s="133"/>
      <c r="K131" s="133"/>
      <c r="L131" s="133"/>
      <c r="M131" s="133"/>
      <c r="N131" s="134" t="s">
        <v>687</v>
      </c>
      <c r="O131" s="134"/>
      <c r="P131" s="134" t="s">
        <v>694</v>
      </c>
      <c r="Q131" s="134"/>
      <c r="R131" s="134"/>
      <c r="S131" s="134"/>
      <c r="T131" s="135">
        <v>1310434836</v>
      </c>
      <c r="U131" s="135"/>
      <c r="V131" s="136" t="s">
        <v>618</v>
      </c>
      <c r="W131" s="136"/>
      <c r="X131" s="129">
        <v>4500</v>
      </c>
      <c r="Y131" s="129"/>
      <c r="Z131" s="129">
        <v>4091</v>
      </c>
      <c r="AA131" s="129"/>
      <c r="AB131" s="129"/>
      <c r="AC131" s="129"/>
      <c r="AD131" s="129">
        <v>409</v>
      </c>
      <c r="AE131" s="129"/>
      <c r="AF131" s="129"/>
      <c r="AG131" s="129"/>
      <c r="AH131" s="129"/>
      <c r="AI131" s="129">
        <v>0</v>
      </c>
      <c r="AJ131" s="129"/>
      <c r="AK131" s="129"/>
    </row>
    <row r="132" spans="3:37" ht="14.85" customHeight="1" x14ac:dyDescent="0.15">
      <c r="C132" s="132">
        <v>44275</v>
      </c>
      <c r="D132" s="132"/>
      <c r="E132" s="132">
        <v>44277</v>
      </c>
      <c r="F132" s="132"/>
      <c r="G132" s="132"/>
      <c r="H132" s="132"/>
      <c r="I132" s="133" t="s">
        <v>621</v>
      </c>
      <c r="J132" s="133"/>
      <c r="K132" s="133"/>
      <c r="L132" s="133"/>
      <c r="M132" s="133"/>
      <c r="N132" s="134" t="s">
        <v>687</v>
      </c>
      <c r="O132" s="134"/>
      <c r="P132" s="134" t="s">
        <v>780</v>
      </c>
      <c r="Q132" s="134"/>
      <c r="R132" s="134"/>
      <c r="S132" s="134"/>
      <c r="T132" s="135">
        <v>2298137000</v>
      </c>
      <c r="U132" s="135"/>
      <c r="V132" s="136" t="s">
        <v>618</v>
      </c>
      <c r="W132" s="136"/>
      <c r="X132" s="129">
        <v>1500</v>
      </c>
      <c r="Y132" s="129"/>
      <c r="Z132" s="129">
        <v>1500</v>
      </c>
      <c r="AA132" s="129"/>
      <c r="AB132" s="129"/>
      <c r="AC132" s="129"/>
      <c r="AD132" s="129">
        <v>0</v>
      </c>
      <c r="AE132" s="129"/>
      <c r="AF132" s="129"/>
      <c r="AG132" s="129"/>
      <c r="AH132" s="129"/>
      <c r="AI132" s="129">
        <v>0</v>
      </c>
      <c r="AJ132" s="129"/>
      <c r="AK132" s="129"/>
    </row>
    <row r="133" spans="3:37" ht="14.85" customHeight="1" x14ac:dyDescent="0.15">
      <c r="C133" s="132">
        <v>44275</v>
      </c>
      <c r="D133" s="132"/>
      <c r="E133" s="132">
        <v>44277</v>
      </c>
      <c r="F133" s="132"/>
      <c r="G133" s="132"/>
      <c r="H133" s="132"/>
      <c r="I133" s="133" t="s">
        <v>621</v>
      </c>
      <c r="J133" s="133"/>
      <c r="K133" s="133"/>
      <c r="L133" s="133"/>
      <c r="M133" s="133"/>
      <c r="N133" s="134" t="s">
        <v>687</v>
      </c>
      <c r="O133" s="134"/>
      <c r="P133" s="134" t="s">
        <v>779</v>
      </c>
      <c r="Q133" s="134"/>
      <c r="R133" s="134"/>
      <c r="S133" s="134"/>
      <c r="T133" s="135">
        <v>2298137000</v>
      </c>
      <c r="U133" s="135"/>
      <c r="V133" s="136" t="s">
        <v>618</v>
      </c>
      <c r="W133" s="136"/>
      <c r="X133" s="129">
        <v>19200</v>
      </c>
      <c r="Y133" s="129"/>
      <c r="Z133" s="129">
        <v>19200</v>
      </c>
      <c r="AA133" s="129"/>
      <c r="AB133" s="129"/>
      <c r="AC133" s="129"/>
      <c r="AD133" s="129">
        <v>0</v>
      </c>
      <c r="AE133" s="129"/>
      <c r="AF133" s="129"/>
      <c r="AG133" s="129"/>
      <c r="AH133" s="129"/>
      <c r="AI133" s="129">
        <v>0</v>
      </c>
      <c r="AJ133" s="129"/>
      <c r="AK133" s="129"/>
    </row>
    <row r="134" spans="3:37" ht="29.65" customHeight="1" x14ac:dyDescent="0.15">
      <c r="V134" s="137" t="s">
        <v>617</v>
      </c>
      <c r="W134" s="137"/>
    </row>
    <row r="135" spans="3:37" ht="14.85" customHeight="1" x14ac:dyDescent="0.15">
      <c r="C135" s="132">
        <v>44277</v>
      </c>
      <c r="D135" s="132"/>
      <c r="E135" s="132">
        <v>44278</v>
      </c>
      <c r="F135" s="132"/>
      <c r="G135" s="132"/>
      <c r="H135" s="132"/>
      <c r="I135" s="133" t="s">
        <v>621</v>
      </c>
      <c r="J135" s="133"/>
      <c r="K135" s="133"/>
      <c r="L135" s="133"/>
      <c r="M135" s="133"/>
      <c r="N135" s="134" t="s">
        <v>687</v>
      </c>
      <c r="O135" s="134"/>
      <c r="P135" s="134" t="s">
        <v>694</v>
      </c>
      <c r="Q135" s="134"/>
      <c r="R135" s="134"/>
      <c r="S135" s="134"/>
      <c r="T135" s="135">
        <v>1310434836</v>
      </c>
      <c r="U135" s="135"/>
      <c r="V135" s="136" t="s">
        <v>618</v>
      </c>
      <c r="W135" s="136"/>
      <c r="X135" s="129">
        <v>4500</v>
      </c>
      <c r="Y135" s="129"/>
      <c r="Z135" s="129">
        <v>4091</v>
      </c>
      <c r="AA135" s="129"/>
      <c r="AB135" s="129"/>
      <c r="AC135" s="129"/>
      <c r="AD135" s="129">
        <v>409</v>
      </c>
      <c r="AE135" s="129"/>
      <c r="AF135" s="129"/>
      <c r="AG135" s="129"/>
      <c r="AH135" s="129"/>
      <c r="AI135" s="129">
        <v>0</v>
      </c>
      <c r="AJ135" s="129"/>
      <c r="AK135" s="129"/>
    </row>
    <row r="136" spans="3:37" ht="14.85" customHeight="1" x14ac:dyDescent="0.15">
      <c r="C136" s="132">
        <v>44278</v>
      </c>
      <c r="D136" s="132"/>
      <c r="E136" s="132">
        <v>44279</v>
      </c>
      <c r="F136" s="132"/>
      <c r="G136" s="132"/>
      <c r="H136" s="132"/>
      <c r="I136" s="133" t="s">
        <v>621</v>
      </c>
      <c r="J136" s="133"/>
      <c r="K136" s="133"/>
      <c r="L136" s="133"/>
      <c r="M136" s="133"/>
      <c r="N136" s="134" t="s">
        <v>687</v>
      </c>
      <c r="O136" s="134"/>
      <c r="P136" s="134" t="s">
        <v>694</v>
      </c>
      <c r="Q136" s="134"/>
      <c r="R136" s="134"/>
      <c r="S136" s="134"/>
      <c r="T136" s="135">
        <v>1310434836</v>
      </c>
      <c r="U136" s="135"/>
      <c r="V136" s="136" t="s">
        <v>618</v>
      </c>
      <c r="W136" s="136"/>
      <c r="X136" s="129">
        <v>4500</v>
      </c>
      <c r="Y136" s="129"/>
      <c r="Z136" s="129">
        <v>4091</v>
      </c>
      <c r="AA136" s="129"/>
      <c r="AB136" s="129"/>
      <c r="AC136" s="129"/>
      <c r="AD136" s="129">
        <v>409</v>
      </c>
      <c r="AE136" s="129"/>
      <c r="AF136" s="129"/>
      <c r="AG136" s="129"/>
      <c r="AH136" s="129"/>
      <c r="AI136" s="129">
        <v>0</v>
      </c>
      <c r="AJ136" s="129"/>
      <c r="AK136" s="129"/>
    </row>
    <row r="137" spans="3:37" ht="14.85" customHeight="1" x14ac:dyDescent="0.15">
      <c r="C137" s="132">
        <v>44279</v>
      </c>
      <c r="D137" s="132"/>
      <c r="E137" s="132">
        <v>44280</v>
      </c>
      <c r="F137" s="132"/>
      <c r="G137" s="132"/>
      <c r="H137" s="132"/>
      <c r="I137" s="133" t="s">
        <v>621</v>
      </c>
      <c r="J137" s="133"/>
      <c r="K137" s="133"/>
      <c r="L137" s="133"/>
      <c r="M137" s="133"/>
      <c r="N137" s="134" t="s">
        <v>687</v>
      </c>
      <c r="O137" s="134"/>
      <c r="P137" s="134" t="s">
        <v>681</v>
      </c>
      <c r="Q137" s="134"/>
      <c r="R137" s="134"/>
      <c r="S137" s="134"/>
      <c r="T137" s="135">
        <v>1168119477</v>
      </c>
      <c r="U137" s="135"/>
      <c r="V137" s="136" t="s">
        <v>618</v>
      </c>
      <c r="W137" s="136"/>
      <c r="X137" s="129">
        <v>700</v>
      </c>
      <c r="Y137" s="129"/>
      <c r="Z137" s="129">
        <v>700</v>
      </c>
      <c r="AA137" s="129"/>
      <c r="AB137" s="129"/>
      <c r="AC137" s="129"/>
      <c r="AD137" s="129">
        <v>0</v>
      </c>
      <c r="AE137" s="129"/>
      <c r="AF137" s="129"/>
      <c r="AG137" s="129"/>
      <c r="AH137" s="129"/>
      <c r="AI137" s="129">
        <v>0</v>
      </c>
      <c r="AJ137" s="129"/>
      <c r="AK137" s="129"/>
    </row>
    <row r="138" spans="3:37" ht="14.85" customHeight="1" x14ac:dyDescent="0.15">
      <c r="C138" s="132">
        <v>44279</v>
      </c>
      <c r="D138" s="132"/>
      <c r="E138" s="132">
        <v>44280</v>
      </c>
      <c r="F138" s="132"/>
      <c r="G138" s="132"/>
      <c r="H138" s="132"/>
      <c r="I138" s="133" t="s">
        <v>621</v>
      </c>
      <c r="J138" s="133"/>
      <c r="K138" s="133"/>
      <c r="L138" s="133"/>
      <c r="M138" s="133"/>
      <c r="N138" s="134" t="s">
        <v>687</v>
      </c>
      <c r="O138" s="134"/>
      <c r="P138" s="134" t="s">
        <v>681</v>
      </c>
      <c r="Q138" s="134"/>
      <c r="R138" s="134"/>
      <c r="S138" s="134"/>
      <c r="T138" s="135">
        <v>1168119477</v>
      </c>
      <c r="U138" s="135"/>
      <c r="V138" s="136" t="s">
        <v>618</v>
      </c>
      <c r="W138" s="136"/>
      <c r="X138" s="129">
        <v>700</v>
      </c>
      <c r="Y138" s="129"/>
      <c r="Z138" s="129">
        <v>700</v>
      </c>
      <c r="AA138" s="129"/>
      <c r="AB138" s="129"/>
      <c r="AC138" s="129"/>
      <c r="AD138" s="129">
        <v>0</v>
      </c>
      <c r="AE138" s="129"/>
      <c r="AF138" s="129"/>
      <c r="AG138" s="129"/>
      <c r="AH138" s="129"/>
      <c r="AI138" s="129">
        <v>0</v>
      </c>
      <c r="AJ138" s="129"/>
      <c r="AK138" s="129"/>
    </row>
    <row r="139" spans="3:37" ht="14.85" customHeight="1" x14ac:dyDescent="0.15">
      <c r="C139" s="132">
        <v>44279</v>
      </c>
      <c r="D139" s="132"/>
      <c r="E139" s="132">
        <v>44280</v>
      </c>
      <c r="F139" s="132"/>
      <c r="G139" s="132"/>
      <c r="H139" s="132"/>
      <c r="I139" s="133" t="s">
        <v>621</v>
      </c>
      <c r="J139" s="133"/>
      <c r="K139" s="133"/>
      <c r="L139" s="133"/>
      <c r="M139" s="133"/>
      <c r="N139" s="134" t="s">
        <v>687</v>
      </c>
      <c r="O139" s="134"/>
      <c r="P139" s="134" t="s">
        <v>681</v>
      </c>
      <c r="Q139" s="134"/>
      <c r="R139" s="134"/>
      <c r="S139" s="134"/>
      <c r="T139" s="135">
        <v>1168119477</v>
      </c>
      <c r="U139" s="135"/>
      <c r="V139" s="136" t="s">
        <v>618</v>
      </c>
      <c r="W139" s="136"/>
      <c r="X139" s="129">
        <v>700</v>
      </c>
      <c r="Y139" s="129"/>
      <c r="Z139" s="129">
        <v>700</v>
      </c>
      <c r="AA139" s="129"/>
      <c r="AB139" s="129"/>
      <c r="AC139" s="129"/>
      <c r="AD139" s="129">
        <v>0</v>
      </c>
      <c r="AE139" s="129"/>
      <c r="AF139" s="129"/>
      <c r="AG139" s="129"/>
      <c r="AH139" s="129"/>
      <c r="AI139" s="129">
        <v>0</v>
      </c>
      <c r="AJ139" s="129"/>
      <c r="AK139" s="129"/>
    </row>
    <row r="140" spans="3:37" ht="14.85" customHeight="1" x14ac:dyDescent="0.15">
      <c r="C140" s="132">
        <v>44280</v>
      </c>
      <c r="D140" s="132"/>
      <c r="E140" s="132">
        <v>44281</v>
      </c>
      <c r="F140" s="132"/>
      <c r="G140" s="132"/>
      <c r="H140" s="132"/>
      <c r="I140" s="133" t="s">
        <v>621</v>
      </c>
      <c r="J140" s="133"/>
      <c r="K140" s="133"/>
      <c r="L140" s="133"/>
      <c r="M140" s="133"/>
      <c r="N140" s="134" t="s">
        <v>687</v>
      </c>
      <c r="O140" s="134"/>
      <c r="P140" s="134" t="s">
        <v>694</v>
      </c>
      <c r="Q140" s="134"/>
      <c r="R140" s="134"/>
      <c r="S140" s="134"/>
      <c r="T140" s="135">
        <v>1310434836</v>
      </c>
      <c r="U140" s="135"/>
      <c r="V140" s="136" t="s">
        <v>618</v>
      </c>
      <c r="W140" s="136"/>
      <c r="X140" s="129">
        <v>4500</v>
      </c>
      <c r="Y140" s="129"/>
      <c r="Z140" s="129">
        <v>4091</v>
      </c>
      <c r="AA140" s="129"/>
      <c r="AB140" s="129"/>
      <c r="AC140" s="129"/>
      <c r="AD140" s="129">
        <v>409</v>
      </c>
      <c r="AE140" s="129"/>
      <c r="AF140" s="129"/>
      <c r="AG140" s="129"/>
      <c r="AH140" s="129"/>
      <c r="AI140" s="129">
        <v>0</v>
      </c>
      <c r="AJ140" s="129"/>
      <c r="AK140" s="129"/>
    </row>
    <row r="141" spans="3:37" ht="14.85" customHeight="1" x14ac:dyDescent="0.15">
      <c r="C141" s="132">
        <v>44282</v>
      </c>
      <c r="D141" s="132"/>
      <c r="E141" s="132">
        <v>44283</v>
      </c>
      <c r="F141" s="132"/>
      <c r="G141" s="132"/>
      <c r="H141" s="132"/>
      <c r="I141" s="133" t="s">
        <v>665</v>
      </c>
      <c r="J141" s="133"/>
      <c r="K141" s="133"/>
      <c r="L141" s="133"/>
      <c r="M141" s="133"/>
      <c r="N141" s="134" t="s">
        <v>664</v>
      </c>
      <c r="O141" s="134"/>
      <c r="P141" s="134" t="s">
        <v>778</v>
      </c>
      <c r="Q141" s="134"/>
      <c r="R141" s="134"/>
      <c r="S141" s="134"/>
      <c r="T141" s="135">
        <v>1318213498</v>
      </c>
      <c r="U141" s="135"/>
      <c r="V141" s="136" t="s">
        <v>618</v>
      </c>
      <c r="W141" s="136"/>
      <c r="X141" s="129">
        <v>54200</v>
      </c>
      <c r="Y141" s="129"/>
      <c r="Z141" s="129">
        <v>54200</v>
      </c>
      <c r="AA141" s="129"/>
      <c r="AB141" s="129"/>
      <c r="AC141" s="129"/>
      <c r="AD141" s="129">
        <v>0</v>
      </c>
      <c r="AE141" s="129"/>
      <c r="AF141" s="129"/>
      <c r="AG141" s="129"/>
      <c r="AH141" s="129"/>
      <c r="AI141" s="129">
        <v>0</v>
      </c>
      <c r="AJ141" s="129"/>
      <c r="AK141" s="129"/>
    </row>
    <row r="142" spans="3:37" ht="14.85" customHeight="1" x14ac:dyDescent="0.15">
      <c r="C142" s="132">
        <v>44282</v>
      </c>
      <c r="D142" s="132"/>
      <c r="E142" s="132">
        <v>44283</v>
      </c>
      <c r="F142" s="132"/>
      <c r="G142" s="132"/>
      <c r="H142" s="132"/>
      <c r="I142" s="133" t="s">
        <v>665</v>
      </c>
      <c r="J142" s="133"/>
      <c r="K142" s="133"/>
      <c r="L142" s="133"/>
      <c r="M142" s="133"/>
      <c r="N142" s="134" t="s">
        <v>664</v>
      </c>
      <c r="O142" s="134"/>
      <c r="P142" s="134" t="s">
        <v>778</v>
      </c>
      <c r="Q142" s="134"/>
      <c r="R142" s="134"/>
      <c r="S142" s="134"/>
      <c r="T142" s="135">
        <v>1318213498</v>
      </c>
      <c r="U142" s="135"/>
      <c r="V142" s="136" t="s">
        <v>618</v>
      </c>
      <c r="W142" s="136"/>
      <c r="X142" s="129">
        <v>113410</v>
      </c>
      <c r="Y142" s="129"/>
      <c r="Z142" s="129">
        <v>113410</v>
      </c>
      <c r="AA142" s="129"/>
      <c r="AB142" s="129"/>
      <c r="AC142" s="129"/>
      <c r="AD142" s="129">
        <v>0</v>
      </c>
      <c r="AE142" s="129"/>
      <c r="AF142" s="129"/>
      <c r="AG142" s="129"/>
      <c r="AH142" s="129"/>
      <c r="AI142" s="129">
        <v>0</v>
      </c>
      <c r="AJ142" s="129"/>
      <c r="AK142" s="129"/>
    </row>
    <row r="143" spans="3:37" ht="14.85" customHeight="1" x14ac:dyDescent="0.15">
      <c r="C143" s="132">
        <v>44282</v>
      </c>
      <c r="D143" s="132"/>
      <c r="E143" s="132">
        <v>44283</v>
      </c>
      <c r="F143" s="132"/>
      <c r="G143" s="132"/>
      <c r="H143" s="132"/>
      <c r="I143" s="133" t="s">
        <v>621</v>
      </c>
      <c r="J143" s="133"/>
      <c r="K143" s="133"/>
      <c r="L143" s="133"/>
      <c r="M143" s="133"/>
      <c r="N143" s="134" t="s">
        <v>687</v>
      </c>
      <c r="O143" s="134"/>
      <c r="P143" s="134" t="s">
        <v>694</v>
      </c>
      <c r="Q143" s="134"/>
      <c r="R143" s="134"/>
      <c r="S143" s="134"/>
      <c r="T143" s="135">
        <v>1310434836</v>
      </c>
      <c r="U143" s="135"/>
      <c r="V143" s="136" t="s">
        <v>618</v>
      </c>
      <c r="W143" s="136"/>
      <c r="X143" s="129">
        <v>4500</v>
      </c>
      <c r="Y143" s="129"/>
      <c r="Z143" s="129">
        <v>4091</v>
      </c>
      <c r="AA143" s="129"/>
      <c r="AB143" s="129"/>
      <c r="AC143" s="129"/>
      <c r="AD143" s="129">
        <v>409</v>
      </c>
      <c r="AE143" s="129"/>
      <c r="AF143" s="129"/>
      <c r="AG143" s="129"/>
      <c r="AH143" s="129"/>
      <c r="AI143" s="129">
        <v>0</v>
      </c>
      <c r="AJ143" s="129"/>
      <c r="AK143" s="129"/>
    </row>
    <row r="144" spans="3:37" ht="14.85" customHeight="1" x14ac:dyDescent="0.15">
      <c r="C144" s="132">
        <v>44282</v>
      </c>
      <c r="D144" s="132"/>
      <c r="E144" s="132">
        <v>44283</v>
      </c>
      <c r="F144" s="132"/>
      <c r="G144" s="132"/>
      <c r="H144" s="132"/>
      <c r="I144" s="133" t="s">
        <v>621</v>
      </c>
      <c r="J144" s="133"/>
      <c r="K144" s="133"/>
      <c r="L144" s="133"/>
      <c r="M144" s="133"/>
      <c r="N144" s="134" t="s">
        <v>687</v>
      </c>
      <c r="O144" s="134"/>
      <c r="P144" s="134" t="s">
        <v>634</v>
      </c>
      <c r="Q144" s="134"/>
      <c r="R144" s="134"/>
      <c r="S144" s="134"/>
      <c r="T144" s="135">
        <v>1298638970</v>
      </c>
      <c r="U144" s="135"/>
      <c r="V144" s="136" t="s">
        <v>618</v>
      </c>
      <c r="W144" s="136"/>
      <c r="X144" s="129">
        <v>3800</v>
      </c>
      <c r="Y144" s="129"/>
      <c r="Z144" s="129">
        <v>3800</v>
      </c>
      <c r="AA144" s="129"/>
      <c r="AB144" s="129"/>
      <c r="AC144" s="129"/>
      <c r="AD144" s="129">
        <v>0</v>
      </c>
      <c r="AE144" s="129"/>
      <c r="AF144" s="129"/>
      <c r="AG144" s="129"/>
      <c r="AH144" s="129"/>
      <c r="AI144" s="129">
        <v>0</v>
      </c>
      <c r="AJ144" s="129"/>
      <c r="AK144" s="129"/>
    </row>
    <row r="145" spans="3:37" ht="14.85" customHeight="1" x14ac:dyDescent="0.15">
      <c r="C145" s="132">
        <v>44284</v>
      </c>
      <c r="D145" s="132"/>
      <c r="E145" s="132">
        <v>44285</v>
      </c>
      <c r="F145" s="132"/>
      <c r="G145" s="132"/>
      <c r="H145" s="132"/>
      <c r="I145" s="133" t="s">
        <v>621</v>
      </c>
      <c r="J145" s="133"/>
      <c r="K145" s="133"/>
      <c r="L145" s="133"/>
      <c r="M145" s="133"/>
      <c r="N145" s="134" t="s">
        <v>630</v>
      </c>
      <c r="O145" s="134"/>
      <c r="P145" s="134" t="s">
        <v>778</v>
      </c>
      <c r="Q145" s="134"/>
      <c r="R145" s="134"/>
      <c r="S145" s="134"/>
      <c r="T145" s="135">
        <v>1318213498</v>
      </c>
      <c r="U145" s="135"/>
      <c r="V145" s="136" t="s">
        <v>618</v>
      </c>
      <c r="W145" s="136"/>
      <c r="X145" s="129">
        <v>238310</v>
      </c>
      <c r="Y145" s="129"/>
      <c r="Z145" s="129">
        <v>238310</v>
      </c>
      <c r="AA145" s="129"/>
      <c r="AB145" s="129"/>
      <c r="AC145" s="129"/>
      <c r="AD145" s="129">
        <v>0</v>
      </c>
      <c r="AE145" s="129"/>
      <c r="AF145" s="129"/>
      <c r="AG145" s="129"/>
      <c r="AH145" s="129"/>
      <c r="AI145" s="129">
        <v>0</v>
      </c>
      <c r="AJ145" s="129"/>
      <c r="AK145" s="129"/>
    </row>
    <row r="146" spans="3:37" ht="14.85" customHeight="1" x14ac:dyDescent="0.15">
      <c r="C146" s="132">
        <v>44284</v>
      </c>
      <c r="D146" s="132"/>
      <c r="E146" s="132">
        <v>44285</v>
      </c>
      <c r="F146" s="132"/>
      <c r="G146" s="132"/>
      <c r="H146" s="132"/>
      <c r="I146" s="133" t="s">
        <v>621</v>
      </c>
      <c r="J146" s="133"/>
      <c r="K146" s="133"/>
      <c r="L146" s="133"/>
      <c r="M146" s="133"/>
      <c r="N146" s="134" t="s">
        <v>687</v>
      </c>
      <c r="O146" s="134"/>
      <c r="P146" s="134" t="s">
        <v>777</v>
      </c>
      <c r="Q146" s="134"/>
      <c r="R146" s="134"/>
      <c r="S146" s="134"/>
      <c r="T146" s="135">
        <v>1312719950</v>
      </c>
      <c r="U146" s="135"/>
      <c r="V146" s="136" t="s">
        <v>776</v>
      </c>
      <c r="W146" s="136"/>
      <c r="X146" s="129">
        <v>3800</v>
      </c>
      <c r="Y146" s="129"/>
      <c r="Z146" s="129">
        <v>3455</v>
      </c>
      <c r="AA146" s="129"/>
      <c r="AB146" s="129"/>
      <c r="AC146" s="129"/>
      <c r="AD146" s="129">
        <v>345</v>
      </c>
      <c r="AE146" s="129"/>
      <c r="AF146" s="129"/>
      <c r="AG146" s="129"/>
      <c r="AH146" s="129"/>
      <c r="AI146" s="129">
        <v>0</v>
      </c>
      <c r="AJ146" s="129"/>
      <c r="AK146" s="129"/>
    </row>
    <row r="147" spans="3:37" ht="14.85" customHeight="1" x14ac:dyDescent="0.15">
      <c r="C147" s="132">
        <v>44285</v>
      </c>
      <c r="D147" s="132"/>
      <c r="E147" s="132">
        <v>44286</v>
      </c>
      <c r="F147" s="132"/>
      <c r="G147" s="132"/>
      <c r="H147" s="132"/>
      <c r="I147" s="133" t="s">
        <v>621</v>
      </c>
      <c r="J147" s="133"/>
      <c r="K147" s="133"/>
      <c r="L147" s="133"/>
      <c r="M147" s="133"/>
      <c r="N147" s="134" t="s">
        <v>687</v>
      </c>
      <c r="O147" s="134"/>
      <c r="P147" s="134" t="s">
        <v>681</v>
      </c>
      <c r="Q147" s="134"/>
      <c r="R147" s="134"/>
      <c r="S147" s="134"/>
      <c r="T147" s="135">
        <v>1168119477</v>
      </c>
      <c r="U147" s="135"/>
      <c r="V147" s="136" t="s">
        <v>618</v>
      </c>
      <c r="W147" s="136"/>
      <c r="X147" s="129">
        <v>1000</v>
      </c>
      <c r="Y147" s="129"/>
      <c r="Z147" s="129">
        <v>1000</v>
      </c>
      <c r="AA147" s="129"/>
      <c r="AB147" s="129"/>
      <c r="AC147" s="129"/>
      <c r="AD147" s="129">
        <v>0</v>
      </c>
      <c r="AE147" s="129"/>
      <c r="AF147" s="129"/>
      <c r="AG147" s="129"/>
      <c r="AH147" s="129"/>
      <c r="AI147" s="129">
        <v>0</v>
      </c>
      <c r="AJ147" s="129"/>
      <c r="AK147" s="129"/>
    </row>
    <row r="148" spans="3:37" ht="14.85" customHeight="1" x14ac:dyDescent="0.15">
      <c r="C148" s="132">
        <v>44285</v>
      </c>
      <c r="D148" s="132"/>
      <c r="E148" s="132">
        <v>44286</v>
      </c>
      <c r="F148" s="132"/>
      <c r="G148" s="132"/>
      <c r="H148" s="132"/>
      <c r="I148" s="133" t="s">
        <v>621</v>
      </c>
      <c r="J148" s="133"/>
      <c r="K148" s="133"/>
      <c r="L148" s="133"/>
      <c r="M148" s="133"/>
      <c r="N148" s="134" t="s">
        <v>687</v>
      </c>
      <c r="O148" s="134"/>
      <c r="P148" s="134" t="s">
        <v>681</v>
      </c>
      <c r="Q148" s="134"/>
      <c r="R148" s="134"/>
      <c r="S148" s="134"/>
      <c r="T148" s="135">
        <v>1168119477</v>
      </c>
      <c r="U148" s="135"/>
      <c r="V148" s="136" t="s">
        <v>618</v>
      </c>
      <c r="W148" s="136"/>
      <c r="X148" s="129">
        <v>700</v>
      </c>
      <c r="Y148" s="129"/>
      <c r="Z148" s="129">
        <v>700</v>
      </c>
      <c r="AA148" s="129"/>
      <c r="AB148" s="129"/>
      <c r="AC148" s="129"/>
      <c r="AD148" s="129">
        <v>0</v>
      </c>
      <c r="AE148" s="129"/>
      <c r="AF148" s="129"/>
      <c r="AG148" s="129"/>
      <c r="AH148" s="129"/>
      <c r="AI148" s="129">
        <v>0</v>
      </c>
      <c r="AJ148" s="129"/>
      <c r="AK148" s="129"/>
    </row>
    <row r="149" spans="3:37" ht="14.85" customHeight="1" x14ac:dyDescent="0.15">
      <c r="C149" s="132">
        <v>44285</v>
      </c>
      <c r="D149" s="132"/>
      <c r="E149" s="132">
        <v>44286</v>
      </c>
      <c r="F149" s="132"/>
      <c r="G149" s="132"/>
      <c r="H149" s="132"/>
      <c r="I149" s="133" t="s">
        <v>621</v>
      </c>
      <c r="J149" s="133"/>
      <c r="K149" s="133"/>
      <c r="L149" s="133"/>
      <c r="M149" s="133"/>
      <c r="N149" s="134" t="s">
        <v>687</v>
      </c>
      <c r="O149" s="134"/>
      <c r="P149" s="134" t="s">
        <v>681</v>
      </c>
      <c r="Q149" s="134"/>
      <c r="R149" s="134"/>
      <c r="S149" s="134"/>
      <c r="T149" s="135">
        <v>1168119477</v>
      </c>
      <c r="U149" s="135"/>
      <c r="V149" s="136" t="s">
        <v>618</v>
      </c>
      <c r="W149" s="136"/>
      <c r="X149" s="129">
        <v>700</v>
      </c>
      <c r="Y149" s="129"/>
      <c r="Z149" s="129">
        <v>700</v>
      </c>
      <c r="AA149" s="129"/>
      <c r="AB149" s="129"/>
      <c r="AC149" s="129"/>
      <c r="AD149" s="129">
        <v>0</v>
      </c>
      <c r="AE149" s="129"/>
      <c r="AF149" s="129"/>
      <c r="AG149" s="129"/>
      <c r="AH149" s="129"/>
      <c r="AI149" s="129">
        <v>0</v>
      </c>
      <c r="AJ149" s="129"/>
      <c r="AK149" s="129"/>
    </row>
    <row r="150" spans="3:37" ht="14.85" customHeight="1" x14ac:dyDescent="0.15">
      <c r="C150" s="132">
        <v>44285</v>
      </c>
      <c r="D150" s="132"/>
      <c r="E150" s="132">
        <v>44286</v>
      </c>
      <c r="F150" s="132"/>
      <c r="G150" s="132"/>
      <c r="H150" s="132"/>
      <c r="I150" s="133" t="s">
        <v>621</v>
      </c>
      <c r="J150" s="133"/>
      <c r="K150" s="133"/>
      <c r="L150" s="133"/>
      <c r="M150" s="133"/>
      <c r="N150" s="134" t="s">
        <v>687</v>
      </c>
      <c r="O150" s="134"/>
      <c r="P150" s="134" t="s">
        <v>694</v>
      </c>
      <c r="Q150" s="134"/>
      <c r="R150" s="134"/>
      <c r="S150" s="134"/>
      <c r="T150" s="135">
        <v>1310434836</v>
      </c>
      <c r="U150" s="135"/>
      <c r="V150" s="136" t="s">
        <v>618</v>
      </c>
      <c r="W150" s="136"/>
      <c r="X150" s="129">
        <v>4500</v>
      </c>
      <c r="Y150" s="129"/>
      <c r="Z150" s="129">
        <v>4091</v>
      </c>
      <c r="AA150" s="129"/>
      <c r="AB150" s="129"/>
      <c r="AC150" s="129"/>
      <c r="AD150" s="129">
        <v>409</v>
      </c>
      <c r="AE150" s="129"/>
      <c r="AF150" s="129"/>
      <c r="AG150" s="129"/>
      <c r="AH150" s="129"/>
      <c r="AI150" s="129">
        <v>0</v>
      </c>
      <c r="AJ150" s="129"/>
      <c r="AK150" s="129"/>
    </row>
    <row r="151" spans="3:37" ht="14.85" customHeight="1" x14ac:dyDescent="0.15">
      <c r="C151" s="132">
        <v>44255</v>
      </c>
      <c r="D151" s="132"/>
      <c r="E151" s="132">
        <v>44288</v>
      </c>
      <c r="F151" s="132"/>
      <c r="G151" s="132"/>
      <c r="H151" s="132"/>
      <c r="I151" s="133" t="s">
        <v>621</v>
      </c>
      <c r="J151" s="133"/>
      <c r="K151" s="133"/>
      <c r="L151" s="133"/>
      <c r="M151" s="133"/>
      <c r="N151" s="134" t="s">
        <v>687</v>
      </c>
      <c r="O151" s="134"/>
      <c r="P151" s="134" t="s">
        <v>775</v>
      </c>
      <c r="Q151" s="134"/>
      <c r="R151" s="134"/>
      <c r="S151" s="134"/>
      <c r="T151" s="135">
        <v>1318215327</v>
      </c>
      <c r="U151" s="135"/>
      <c r="V151" s="136" t="s">
        <v>618</v>
      </c>
      <c r="W151" s="136"/>
      <c r="X151" s="129">
        <v>10400</v>
      </c>
      <c r="Y151" s="129"/>
      <c r="Z151" s="129">
        <v>10400</v>
      </c>
      <c r="AA151" s="129"/>
      <c r="AB151" s="129"/>
      <c r="AC151" s="129"/>
      <c r="AD151" s="129">
        <v>0</v>
      </c>
      <c r="AE151" s="129"/>
      <c r="AF151" s="129"/>
      <c r="AG151" s="129"/>
      <c r="AH151" s="129"/>
      <c r="AI151" s="129">
        <v>0</v>
      </c>
      <c r="AJ151" s="129"/>
      <c r="AK151" s="129"/>
    </row>
    <row r="152" spans="3:37" ht="14.85" customHeight="1" x14ac:dyDescent="0.15">
      <c r="C152" s="132">
        <v>44255</v>
      </c>
      <c r="D152" s="132"/>
      <c r="E152" s="132">
        <v>44288</v>
      </c>
      <c r="F152" s="132"/>
      <c r="G152" s="132"/>
      <c r="H152" s="132"/>
      <c r="I152" s="133" t="s">
        <v>621</v>
      </c>
      <c r="J152" s="133"/>
      <c r="K152" s="133"/>
      <c r="L152" s="133"/>
      <c r="M152" s="133"/>
      <c r="N152" s="134" t="s">
        <v>687</v>
      </c>
      <c r="O152" s="134"/>
      <c r="P152" s="134" t="s">
        <v>774</v>
      </c>
      <c r="Q152" s="134"/>
      <c r="R152" s="134"/>
      <c r="S152" s="134"/>
      <c r="T152" s="135">
        <v>1048183559</v>
      </c>
      <c r="U152" s="135"/>
      <c r="V152" s="136" t="s">
        <v>618</v>
      </c>
      <c r="W152" s="136"/>
      <c r="X152" s="129">
        <v>2700</v>
      </c>
      <c r="Y152" s="129"/>
      <c r="Z152" s="129">
        <v>2700</v>
      </c>
      <c r="AA152" s="129"/>
      <c r="AB152" s="129"/>
      <c r="AC152" s="129"/>
      <c r="AD152" s="129">
        <v>0</v>
      </c>
      <c r="AE152" s="129"/>
      <c r="AF152" s="129"/>
      <c r="AG152" s="129"/>
      <c r="AH152" s="129"/>
      <c r="AI152" s="129">
        <v>0</v>
      </c>
      <c r="AJ152" s="129"/>
      <c r="AK152" s="129"/>
    </row>
    <row r="153" spans="3:37" ht="14.85" customHeight="1" x14ac:dyDescent="0.15">
      <c r="C153" s="132">
        <v>44287</v>
      </c>
      <c r="D153" s="132"/>
      <c r="E153" s="132">
        <v>44288</v>
      </c>
      <c r="F153" s="132"/>
      <c r="G153" s="132"/>
      <c r="H153" s="132"/>
      <c r="I153" s="133" t="s">
        <v>621</v>
      </c>
      <c r="J153" s="133"/>
      <c r="K153" s="133"/>
      <c r="L153" s="133"/>
      <c r="M153" s="133"/>
      <c r="N153" s="134" t="s">
        <v>630</v>
      </c>
      <c r="O153" s="134"/>
      <c r="P153" s="134" t="s">
        <v>712</v>
      </c>
      <c r="Q153" s="134"/>
      <c r="R153" s="134"/>
      <c r="S153" s="134"/>
      <c r="T153" s="135">
        <v>1028142945</v>
      </c>
      <c r="U153" s="135"/>
      <c r="V153" s="136" t="s">
        <v>618</v>
      </c>
      <c r="W153" s="136"/>
      <c r="X153" s="129">
        <v>76150</v>
      </c>
      <c r="Y153" s="129"/>
      <c r="Z153" s="129">
        <v>76150</v>
      </c>
      <c r="AA153" s="129"/>
      <c r="AB153" s="129"/>
      <c r="AC153" s="129"/>
      <c r="AD153" s="129">
        <v>0</v>
      </c>
      <c r="AE153" s="129"/>
      <c r="AF153" s="129"/>
      <c r="AG153" s="129"/>
      <c r="AH153" s="129"/>
      <c r="AI153" s="129">
        <v>0</v>
      </c>
      <c r="AJ153" s="129"/>
      <c r="AK153" s="129"/>
    </row>
    <row r="154" spans="3:37" ht="14.85" customHeight="1" x14ac:dyDescent="0.15">
      <c r="C154" s="132">
        <v>44286</v>
      </c>
      <c r="D154" s="132"/>
      <c r="E154" s="132">
        <v>44288</v>
      </c>
      <c r="F154" s="132"/>
      <c r="G154" s="132"/>
      <c r="H154" s="132"/>
      <c r="I154" s="133" t="s">
        <v>621</v>
      </c>
      <c r="J154" s="133"/>
      <c r="K154" s="133"/>
      <c r="L154" s="133"/>
      <c r="M154" s="133"/>
      <c r="N154" s="134" t="s">
        <v>687</v>
      </c>
      <c r="O154" s="134"/>
      <c r="P154" s="134" t="s">
        <v>692</v>
      </c>
      <c r="Q154" s="134"/>
      <c r="R154" s="134"/>
      <c r="S154" s="134"/>
      <c r="T154" s="135">
        <v>5304900441</v>
      </c>
      <c r="U154" s="135"/>
      <c r="V154" s="136" t="s">
        <v>618</v>
      </c>
      <c r="W154" s="136"/>
      <c r="X154" s="129">
        <v>4500</v>
      </c>
      <c r="Y154" s="129"/>
      <c r="Z154" s="129">
        <v>4091</v>
      </c>
      <c r="AA154" s="129"/>
      <c r="AB154" s="129"/>
      <c r="AC154" s="129"/>
      <c r="AD154" s="129">
        <v>409</v>
      </c>
      <c r="AE154" s="129"/>
      <c r="AF154" s="129"/>
      <c r="AG154" s="129"/>
      <c r="AH154" s="129"/>
      <c r="AI154" s="129">
        <v>0</v>
      </c>
      <c r="AJ154" s="129"/>
      <c r="AK154" s="129"/>
    </row>
    <row r="155" spans="3:37" ht="14.85" customHeight="1" x14ac:dyDescent="0.15">
      <c r="C155" s="132">
        <v>44287</v>
      </c>
      <c r="D155" s="132"/>
      <c r="E155" s="132">
        <v>44288</v>
      </c>
      <c r="F155" s="132"/>
      <c r="G155" s="132"/>
      <c r="H155" s="132"/>
      <c r="I155" s="133" t="s">
        <v>621</v>
      </c>
      <c r="J155" s="133"/>
      <c r="K155" s="133"/>
      <c r="L155" s="133"/>
      <c r="M155" s="133"/>
      <c r="N155" s="134" t="s">
        <v>687</v>
      </c>
      <c r="O155" s="134"/>
      <c r="P155" s="134" t="s">
        <v>694</v>
      </c>
      <c r="Q155" s="134"/>
      <c r="R155" s="134"/>
      <c r="S155" s="134"/>
      <c r="T155" s="135">
        <v>1310434836</v>
      </c>
      <c r="U155" s="135"/>
      <c r="V155" s="136" t="s">
        <v>618</v>
      </c>
      <c r="W155" s="136"/>
      <c r="X155" s="129">
        <v>4500</v>
      </c>
      <c r="Y155" s="129"/>
      <c r="Z155" s="129">
        <v>4091</v>
      </c>
      <c r="AA155" s="129"/>
      <c r="AB155" s="129"/>
      <c r="AC155" s="129"/>
      <c r="AD155" s="129">
        <v>409</v>
      </c>
      <c r="AE155" s="129"/>
      <c r="AF155" s="129"/>
      <c r="AG155" s="129"/>
      <c r="AH155" s="129"/>
      <c r="AI155" s="129">
        <v>0</v>
      </c>
      <c r="AJ155" s="129"/>
      <c r="AK155" s="129"/>
    </row>
    <row r="156" spans="3:37" ht="14.85" customHeight="1" x14ac:dyDescent="0.15">
      <c r="C156" s="132">
        <v>44255</v>
      </c>
      <c r="D156" s="132"/>
      <c r="E156" s="132">
        <v>44288</v>
      </c>
      <c r="F156" s="132"/>
      <c r="G156" s="132"/>
      <c r="H156" s="132"/>
      <c r="I156" s="133" t="s">
        <v>621</v>
      </c>
      <c r="J156" s="133"/>
      <c r="K156" s="133"/>
      <c r="L156" s="133"/>
      <c r="M156" s="133"/>
      <c r="N156" s="134" t="s">
        <v>620</v>
      </c>
      <c r="O156" s="134"/>
      <c r="P156" s="134" t="s">
        <v>640</v>
      </c>
      <c r="Q156" s="134"/>
      <c r="R156" s="134"/>
      <c r="S156" s="134"/>
      <c r="T156" s="135">
        <v>2028148079</v>
      </c>
      <c r="U156" s="135"/>
      <c r="V156" s="136" t="s">
        <v>618</v>
      </c>
      <c r="W156" s="136"/>
      <c r="X156" s="129">
        <v>200</v>
      </c>
      <c r="Y156" s="129"/>
      <c r="Z156" s="129">
        <v>200</v>
      </c>
      <c r="AA156" s="129"/>
      <c r="AB156" s="129"/>
      <c r="AC156" s="129"/>
      <c r="AD156" s="129">
        <v>0</v>
      </c>
      <c r="AE156" s="129"/>
      <c r="AF156" s="129"/>
      <c r="AG156" s="129"/>
      <c r="AH156" s="129"/>
      <c r="AI156" s="129">
        <v>0</v>
      </c>
      <c r="AJ156" s="129"/>
      <c r="AK156" s="129"/>
    </row>
    <row r="157" spans="3:37" ht="14.85" customHeight="1" x14ac:dyDescent="0.15">
      <c r="C157" s="132">
        <v>44286</v>
      </c>
      <c r="D157" s="132"/>
      <c r="E157" s="132">
        <v>44288</v>
      </c>
      <c r="F157" s="132"/>
      <c r="G157" s="132"/>
      <c r="H157" s="132"/>
      <c r="I157" s="133" t="s">
        <v>665</v>
      </c>
      <c r="J157" s="133"/>
      <c r="K157" s="133"/>
      <c r="L157" s="133"/>
      <c r="M157" s="133"/>
      <c r="N157" s="134" t="s">
        <v>664</v>
      </c>
      <c r="O157" s="134"/>
      <c r="P157" s="134" t="s">
        <v>773</v>
      </c>
      <c r="Q157" s="134"/>
      <c r="R157" s="134"/>
      <c r="S157" s="134"/>
      <c r="T157" s="135">
        <v>1318215327</v>
      </c>
      <c r="U157" s="135"/>
      <c r="V157" s="136" t="s">
        <v>618</v>
      </c>
      <c r="W157" s="136"/>
      <c r="X157" s="129">
        <v>2050</v>
      </c>
      <c r="Y157" s="129"/>
      <c r="Z157" s="129">
        <v>2050</v>
      </c>
      <c r="AA157" s="129"/>
      <c r="AB157" s="129"/>
      <c r="AC157" s="129"/>
      <c r="AD157" s="129">
        <v>0</v>
      </c>
      <c r="AE157" s="129"/>
      <c r="AF157" s="129"/>
      <c r="AG157" s="129"/>
      <c r="AH157" s="129"/>
      <c r="AI157" s="129">
        <v>0</v>
      </c>
      <c r="AJ157" s="129"/>
      <c r="AK157" s="129"/>
    </row>
    <row r="158" spans="3:37" ht="14.85" customHeight="1" x14ac:dyDescent="0.15">
      <c r="C158" s="132">
        <v>44286</v>
      </c>
      <c r="D158" s="132"/>
      <c r="E158" s="132">
        <v>44288</v>
      </c>
      <c r="F158" s="132"/>
      <c r="G158" s="132"/>
      <c r="H158" s="132"/>
      <c r="I158" s="133" t="s">
        <v>665</v>
      </c>
      <c r="J158" s="133"/>
      <c r="K158" s="133"/>
      <c r="L158" s="133"/>
      <c r="M158" s="133"/>
      <c r="N158" s="134" t="s">
        <v>664</v>
      </c>
      <c r="O158" s="134"/>
      <c r="P158" s="134" t="s">
        <v>765</v>
      </c>
      <c r="Q158" s="134"/>
      <c r="R158" s="134"/>
      <c r="S158" s="134"/>
      <c r="T158" s="135">
        <v>1048183559</v>
      </c>
      <c r="U158" s="135"/>
      <c r="V158" s="136" t="s">
        <v>618</v>
      </c>
      <c r="W158" s="136"/>
      <c r="X158" s="129">
        <v>1200</v>
      </c>
      <c r="Y158" s="129"/>
      <c r="Z158" s="129">
        <v>1200</v>
      </c>
      <c r="AA158" s="129"/>
      <c r="AB158" s="129"/>
      <c r="AC158" s="129"/>
      <c r="AD158" s="129">
        <v>0</v>
      </c>
      <c r="AE158" s="129"/>
      <c r="AF158" s="129"/>
      <c r="AG158" s="129"/>
      <c r="AH158" s="129"/>
      <c r="AI158" s="129">
        <v>0</v>
      </c>
      <c r="AJ158" s="129"/>
      <c r="AK158" s="129"/>
    </row>
    <row r="159" spans="3:37" ht="14.85" customHeight="1" x14ac:dyDescent="0.15">
      <c r="C159" s="132">
        <v>44288</v>
      </c>
      <c r="D159" s="132"/>
      <c r="E159" s="132">
        <v>44289</v>
      </c>
      <c r="F159" s="132"/>
      <c r="G159" s="132"/>
      <c r="H159" s="132"/>
      <c r="I159" s="133" t="s">
        <v>621</v>
      </c>
      <c r="J159" s="133"/>
      <c r="K159" s="133"/>
      <c r="L159" s="133"/>
      <c r="M159" s="133"/>
      <c r="N159" s="134" t="s">
        <v>687</v>
      </c>
      <c r="O159" s="134"/>
      <c r="P159" s="134" t="s">
        <v>772</v>
      </c>
      <c r="Q159" s="134"/>
      <c r="R159" s="134"/>
      <c r="S159" s="134"/>
      <c r="T159" s="135">
        <v>1138521083</v>
      </c>
      <c r="U159" s="135"/>
      <c r="V159" s="136" t="s">
        <v>618</v>
      </c>
      <c r="W159" s="136"/>
      <c r="X159" s="129">
        <v>28600</v>
      </c>
      <c r="Y159" s="129"/>
      <c r="Z159" s="129">
        <v>26000</v>
      </c>
      <c r="AA159" s="129"/>
      <c r="AB159" s="129"/>
      <c r="AC159" s="129"/>
      <c r="AD159" s="129">
        <v>2600</v>
      </c>
      <c r="AE159" s="129"/>
      <c r="AF159" s="129"/>
      <c r="AG159" s="129"/>
      <c r="AH159" s="129"/>
      <c r="AI159" s="129">
        <v>0</v>
      </c>
      <c r="AJ159" s="129"/>
      <c r="AK159" s="129"/>
    </row>
    <row r="160" spans="3:37" ht="14.85" customHeight="1" x14ac:dyDescent="0.15">
      <c r="C160" s="132">
        <v>44289</v>
      </c>
      <c r="D160" s="132"/>
      <c r="E160" s="132">
        <v>44290</v>
      </c>
      <c r="F160" s="132"/>
      <c r="G160" s="132"/>
      <c r="H160" s="132"/>
      <c r="I160" s="133" t="s">
        <v>621</v>
      </c>
      <c r="J160" s="133"/>
      <c r="K160" s="133"/>
      <c r="L160" s="133"/>
      <c r="M160" s="133"/>
      <c r="N160" s="134" t="s">
        <v>687</v>
      </c>
      <c r="O160" s="134"/>
      <c r="P160" s="134" t="s">
        <v>694</v>
      </c>
      <c r="Q160" s="134"/>
      <c r="R160" s="134"/>
      <c r="S160" s="134"/>
      <c r="T160" s="135">
        <v>1310434836</v>
      </c>
      <c r="U160" s="135"/>
      <c r="V160" s="136" t="s">
        <v>618</v>
      </c>
      <c r="W160" s="136"/>
      <c r="X160" s="129">
        <v>4500</v>
      </c>
      <c r="Y160" s="129"/>
      <c r="Z160" s="129">
        <v>4091</v>
      </c>
      <c r="AA160" s="129"/>
      <c r="AB160" s="129"/>
      <c r="AC160" s="129"/>
      <c r="AD160" s="129">
        <v>409</v>
      </c>
      <c r="AE160" s="129"/>
      <c r="AF160" s="129"/>
      <c r="AG160" s="129"/>
      <c r="AH160" s="129"/>
      <c r="AI160" s="129">
        <v>0</v>
      </c>
      <c r="AJ160" s="129"/>
      <c r="AK160" s="129"/>
    </row>
    <row r="161" spans="3:37" ht="14.85" customHeight="1" x14ac:dyDescent="0.15">
      <c r="C161" s="132">
        <v>44290</v>
      </c>
      <c r="D161" s="132"/>
      <c r="E161" s="132">
        <v>44291</v>
      </c>
      <c r="F161" s="132"/>
      <c r="G161" s="132"/>
      <c r="H161" s="132"/>
      <c r="I161" s="133" t="s">
        <v>621</v>
      </c>
      <c r="J161" s="133"/>
      <c r="K161" s="133"/>
      <c r="L161" s="133"/>
      <c r="M161" s="133"/>
      <c r="N161" s="134" t="s">
        <v>687</v>
      </c>
      <c r="O161" s="134"/>
      <c r="P161" s="134" t="s">
        <v>699</v>
      </c>
      <c r="Q161" s="134"/>
      <c r="R161" s="134"/>
      <c r="S161" s="134"/>
      <c r="T161" s="135">
        <v>3021040377</v>
      </c>
      <c r="U161" s="135"/>
      <c r="V161" s="136" t="s">
        <v>622</v>
      </c>
      <c r="W161" s="136"/>
      <c r="X161" s="129">
        <v>8100</v>
      </c>
      <c r="Y161" s="129"/>
      <c r="Z161" s="129">
        <v>7364</v>
      </c>
      <c r="AA161" s="129"/>
      <c r="AB161" s="129"/>
      <c r="AC161" s="129"/>
      <c r="AD161" s="129">
        <v>736</v>
      </c>
      <c r="AE161" s="129"/>
      <c r="AF161" s="129"/>
      <c r="AG161" s="129"/>
      <c r="AH161" s="129"/>
      <c r="AI161" s="129">
        <v>0</v>
      </c>
      <c r="AJ161" s="129"/>
      <c r="AK161" s="129"/>
    </row>
    <row r="162" spans="3:37" ht="14.85" customHeight="1" x14ac:dyDescent="0.15">
      <c r="C162" s="132">
        <v>44291</v>
      </c>
      <c r="D162" s="132"/>
      <c r="E162" s="132">
        <v>44292</v>
      </c>
      <c r="F162" s="132"/>
      <c r="G162" s="132"/>
      <c r="H162" s="132"/>
      <c r="I162" s="133" t="s">
        <v>621</v>
      </c>
      <c r="J162" s="133"/>
      <c r="K162" s="133"/>
      <c r="L162" s="133"/>
      <c r="M162" s="133"/>
      <c r="N162" s="134" t="s">
        <v>687</v>
      </c>
      <c r="O162" s="134"/>
      <c r="P162" s="134" t="s">
        <v>771</v>
      </c>
      <c r="Q162" s="134"/>
      <c r="R162" s="134"/>
      <c r="S162" s="134"/>
      <c r="T162" s="135">
        <v>3021301206</v>
      </c>
      <c r="U162" s="135"/>
      <c r="V162" s="136" t="s">
        <v>618</v>
      </c>
      <c r="W162" s="136"/>
      <c r="X162" s="129">
        <v>3500</v>
      </c>
      <c r="Y162" s="129"/>
      <c r="Z162" s="129">
        <v>3183</v>
      </c>
      <c r="AA162" s="129"/>
      <c r="AB162" s="129"/>
      <c r="AC162" s="129"/>
      <c r="AD162" s="129">
        <v>317</v>
      </c>
      <c r="AE162" s="129"/>
      <c r="AF162" s="129"/>
      <c r="AG162" s="129"/>
      <c r="AH162" s="129"/>
      <c r="AI162" s="129">
        <v>0</v>
      </c>
      <c r="AJ162" s="129"/>
      <c r="AK162" s="129"/>
    </row>
    <row r="163" spans="3:37" ht="14.85" customHeight="1" x14ac:dyDescent="0.15">
      <c r="C163" s="132">
        <v>44291</v>
      </c>
      <c r="D163" s="132"/>
      <c r="E163" s="132">
        <v>44292</v>
      </c>
      <c r="F163" s="132"/>
      <c r="G163" s="132"/>
      <c r="H163" s="132"/>
      <c r="I163" s="133" t="s">
        <v>621</v>
      </c>
      <c r="J163" s="133"/>
      <c r="K163" s="133"/>
      <c r="L163" s="133"/>
      <c r="M163" s="133"/>
      <c r="N163" s="134" t="s">
        <v>630</v>
      </c>
      <c r="O163" s="134"/>
      <c r="P163" s="134" t="s">
        <v>712</v>
      </c>
      <c r="Q163" s="134"/>
      <c r="R163" s="134"/>
      <c r="S163" s="134"/>
      <c r="T163" s="135">
        <v>1028142945</v>
      </c>
      <c r="U163" s="135"/>
      <c r="V163" s="136" t="s">
        <v>618</v>
      </c>
      <c r="W163" s="136"/>
      <c r="X163" s="129">
        <v>293600</v>
      </c>
      <c r="Y163" s="129"/>
      <c r="Z163" s="129">
        <v>293600</v>
      </c>
      <c r="AA163" s="129"/>
      <c r="AB163" s="129"/>
      <c r="AC163" s="129"/>
      <c r="AD163" s="129">
        <v>0</v>
      </c>
      <c r="AE163" s="129"/>
      <c r="AF163" s="129"/>
      <c r="AG163" s="129"/>
      <c r="AH163" s="129"/>
      <c r="AI163" s="129">
        <v>0</v>
      </c>
      <c r="AJ163" s="129"/>
      <c r="AK163" s="129"/>
    </row>
    <row r="164" spans="3:37" ht="14.85" customHeight="1" x14ac:dyDescent="0.15">
      <c r="C164" s="132">
        <v>44291</v>
      </c>
      <c r="D164" s="132"/>
      <c r="E164" s="132">
        <v>44292</v>
      </c>
      <c r="F164" s="132"/>
      <c r="G164" s="132"/>
      <c r="H164" s="132"/>
      <c r="I164" s="133" t="s">
        <v>768</v>
      </c>
      <c r="J164" s="133"/>
      <c r="K164" s="133"/>
      <c r="L164" s="133"/>
      <c r="M164" s="133"/>
      <c r="N164" s="134" t="s">
        <v>664</v>
      </c>
      <c r="O164" s="134"/>
      <c r="P164" s="134" t="s">
        <v>770</v>
      </c>
      <c r="Q164" s="134"/>
      <c r="R164" s="134"/>
      <c r="S164" s="134"/>
      <c r="T164" s="135">
        <v>2630701609</v>
      </c>
      <c r="U164" s="135"/>
      <c r="V164" s="136" t="s">
        <v>618</v>
      </c>
      <c r="W164" s="136"/>
      <c r="X164" s="129">
        <v>73000</v>
      </c>
      <c r="Y164" s="129"/>
      <c r="Z164" s="129">
        <v>66364</v>
      </c>
      <c r="AA164" s="129"/>
      <c r="AB164" s="129"/>
      <c r="AC164" s="129"/>
      <c r="AD164" s="129">
        <v>6636</v>
      </c>
      <c r="AE164" s="129"/>
      <c r="AF164" s="129"/>
      <c r="AG164" s="129"/>
      <c r="AH164" s="129"/>
      <c r="AI164" s="129">
        <v>0</v>
      </c>
      <c r="AJ164" s="129"/>
      <c r="AK164" s="129"/>
    </row>
    <row r="165" spans="3:37" ht="14.85" customHeight="1" x14ac:dyDescent="0.15">
      <c r="C165" s="132">
        <v>44292</v>
      </c>
      <c r="D165" s="132"/>
      <c r="E165" s="132">
        <v>44293</v>
      </c>
      <c r="F165" s="132"/>
      <c r="G165" s="132"/>
      <c r="H165" s="132"/>
      <c r="I165" s="133" t="s">
        <v>621</v>
      </c>
      <c r="J165" s="133"/>
      <c r="K165" s="133"/>
      <c r="L165" s="133"/>
      <c r="M165" s="133"/>
      <c r="N165" s="134" t="s">
        <v>687</v>
      </c>
      <c r="O165" s="134"/>
      <c r="P165" s="134" t="s">
        <v>681</v>
      </c>
      <c r="Q165" s="134"/>
      <c r="R165" s="134"/>
      <c r="S165" s="134"/>
      <c r="T165" s="135">
        <v>1168119477</v>
      </c>
      <c r="U165" s="135"/>
      <c r="V165" s="136" t="s">
        <v>618</v>
      </c>
      <c r="W165" s="136"/>
      <c r="X165" s="129">
        <v>700</v>
      </c>
      <c r="Y165" s="129"/>
      <c r="Z165" s="129">
        <v>700</v>
      </c>
      <c r="AA165" s="129"/>
      <c r="AB165" s="129"/>
      <c r="AC165" s="129"/>
      <c r="AD165" s="129">
        <v>0</v>
      </c>
      <c r="AE165" s="129"/>
      <c r="AF165" s="129"/>
      <c r="AG165" s="129"/>
      <c r="AH165" s="129"/>
      <c r="AI165" s="129">
        <v>0</v>
      </c>
      <c r="AJ165" s="129"/>
      <c r="AK165" s="129"/>
    </row>
    <row r="166" spans="3:37" ht="14.85" customHeight="1" x14ac:dyDescent="0.15">
      <c r="C166" s="132">
        <v>44292</v>
      </c>
      <c r="D166" s="132"/>
      <c r="E166" s="132">
        <v>44293</v>
      </c>
      <c r="F166" s="132"/>
      <c r="G166" s="132"/>
      <c r="H166" s="132"/>
      <c r="I166" s="133" t="s">
        <v>621</v>
      </c>
      <c r="J166" s="133"/>
      <c r="K166" s="133"/>
      <c r="L166" s="133"/>
      <c r="M166" s="133"/>
      <c r="N166" s="134" t="s">
        <v>687</v>
      </c>
      <c r="O166" s="134"/>
      <c r="P166" s="134" t="s">
        <v>694</v>
      </c>
      <c r="Q166" s="134"/>
      <c r="R166" s="134"/>
      <c r="S166" s="134"/>
      <c r="T166" s="135">
        <v>1310434836</v>
      </c>
      <c r="U166" s="135"/>
      <c r="V166" s="136" t="s">
        <v>618</v>
      </c>
      <c r="W166" s="136"/>
      <c r="X166" s="129">
        <v>4500</v>
      </c>
      <c r="Y166" s="129"/>
      <c r="Z166" s="129">
        <v>4091</v>
      </c>
      <c r="AA166" s="129"/>
      <c r="AB166" s="129"/>
      <c r="AC166" s="129"/>
      <c r="AD166" s="129">
        <v>409</v>
      </c>
      <c r="AE166" s="129"/>
      <c r="AF166" s="129"/>
      <c r="AG166" s="129"/>
      <c r="AH166" s="129"/>
      <c r="AI166" s="129">
        <v>0</v>
      </c>
      <c r="AJ166" s="129"/>
      <c r="AK166" s="129"/>
    </row>
    <row r="167" spans="3:37" ht="14.85" customHeight="1" x14ac:dyDescent="0.15">
      <c r="C167" s="132">
        <v>44293</v>
      </c>
      <c r="D167" s="132"/>
      <c r="E167" s="132">
        <v>44295</v>
      </c>
      <c r="F167" s="132"/>
      <c r="G167" s="132"/>
      <c r="H167" s="132"/>
      <c r="I167" s="133" t="s">
        <v>621</v>
      </c>
      <c r="J167" s="133"/>
      <c r="K167" s="133"/>
      <c r="L167" s="133"/>
      <c r="M167" s="133"/>
      <c r="N167" s="134" t="s">
        <v>687</v>
      </c>
      <c r="O167" s="134"/>
      <c r="P167" s="134" t="s">
        <v>769</v>
      </c>
      <c r="Q167" s="134"/>
      <c r="R167" s="134"/>
      <c r="S167" s="134"/>
      <c r="T167" s="135">
        <v>8888500372</v>
      </c>
      <c r="U167" s="135"/>
      <c r="V167" s="136" t="s">
        <v>618</v>
      </c>
      <c r="W167" s="136"/>
      <c r="X167" s="129">
        <v>4500</v>
      </c>
      <c r="Y167" s="129"/>
      <c r="Z167" s="129">
        <v>4091</v>
      </c>
      <c r="AA167" s="129"/>
      <c r="AB167" s="129"/>
      <c r="AC167" s="129"/>
      <c r="AD167" s="129">
        <v>409</v>
      </c>
      <c r="AE167" s="129"/>
      <c r="AF167" s="129"/>
      <c r="AG167" s="129"/>
      <c r="AH167" s="129"/>
      <c r="AI167" s="129">
        <v>0</v>
      </c>
      <c r="AJ167" s="129"/>
      <c r="AK167" s="129"/>
    </row>
    <row r="168" spans="3:37" ht="14.85" customHeight="1" x14ac:dyDescent="0.15">
      <c r="C168" s="132">
        <v>44299</v>
      </c>
      <c r="D168" s="132"/>
      <c r="E168" s="132">
        <v>44296</v>
      </c>
      <c r="F168" s="132"/>
      <c r="G168" s="132"/>
      <c r="H168" s="132"/>
      <c r="I168" s="133" t="s">
        <v>621</v>
      </c>
      <c r="J168" s="133"/>
      <c r="K168" s="133"/>
      <c r="L168" s="133"/>
      <c r="M168" s="133"/>
      <c r="N168" s="134" t="s">
        <v>687</v>
      </c>
      <c r="O168" s="134"/>
      <c r="P168" s="134" t="s">
        <v>666</v>
      </c>
      <c r="Q168" s="134"/>
      <c r="R168" s="134"/>
      <c r="S168" s="134"/>
      <c r="T168" s="135">
        <v>2208139938</v>
      </c>
      <c r="U168" s="135"/>
      <c r="V168" s="136" t="s">
        <v>618</v>
      </c>
      <c r="W168" s="136"/>
      <c r="X168" s="129">
        <v>56800</v>
      </c>
      <c r="Y168" s="129"/>
      <c r="Z168" s="129">
        <v>56800</v>
      </c>
      <c r="AA168" s="129"/>
      <c r="AB168" s="129"/>
      <c r="AC168" s="129"/>
      <c r="AD168" s="129">
        <v>0</v>
      </c>
      <c r="AE168" s="129"/>
      <c r="AF168" s="129"/>
      <c r="AG168" s="129"/>
      <c r="AH168" s="129"/>
      <c r="AI168" s="129">
        <v>0</v>
      </c>
      <c r="AJ168" s="129"/>
      <c r="AK168" s="129"/>
    </row>
    <row r="169" spans="3:37" ht="14.85" customHeight="1" x14ac:dyDescent="0.15">
      <c r="C169" s="132">
        <v>44299</v>
      </c>
      <c r="D169" s="132"/>
      <c r="E169" s="132">
        <v>44296</v>
      </c>
      <c r="F169" s="132"/>
      <c r="G169" s="132"/>
      <c r="H169" s="132"/>
      <c r="I169" s="133" t="s">
        <v>621</v>
      </c>
      <c r="J169" s="133"/>
      <c r="K169" s="133"/>
      <c r="L169" s="133"/>
      <c r="M169" s="133"/>
      <c r="N169" s="134" t="s">
        <v>687</v>
      </c>
      <c r="O169" s="134"/>
      <c r="P169" s="134" t="s">
        <v>636</v>
      </c>
      <c r="Q169" s="134"/>
      <c r="R169" s="134"/>
      <c r="S169" s="134"/>
      <c r="T169" s="135">
        <v>2208139938</v>
      </c>
      <c r="U169" s="135"/>
      <c r="V169" s="136" t="s">
        <v>618</v>
      </c>
      <c r="W169" s="136"/>
      <c r="X169" s="129">
        <v>8760</v>
      </c>
      <c r="Y169" s="129"/>
      <c r="Z169" s="129">
        <v>8760</v>
      </c>
      <c r="AA169" s="129"/>
      <c r="AB169" s="129"/>
      <c r="AC169" s="129"/>
      <c r="AD169" s="129">
        <v>0</v>
      </c>
      <c r="AE169" s="129"/>
      <c r="AF169" s="129"/>
      <c r="AG169" s="129"/>
      <c r="AH169" s="129"/>
      <c r="AI169" s="129">
        <v>0</v>
      </c>
      <c r="AJ169" s="129"/>
      <c r="AK169" s="129"/>
    </row>
    <row r="170" spans="3:37" ht="14.85" customHeight="1" x14ac:dyDescent="0.15">
      <c r="C170" s="132">
        <v>44295</v>
      </c>
      <c r="D170" s="132"/>
      <c r="E170" s="132">
        <v>44296</v>
      </c>
      <c r="F170" s="132"/>
      <c r="G170" s="132"/>
      <c r="H170" s="132"/>
      <c r="I170" s="133" t="s">
        <v>621</v>
      </c>
      <c r="J170" s="133"/>
      <c r="K170" s="133"/>
      <c r="L170" s="133"/>
      <c r="M170" s="133"/>
      <c r="N170" s="134" t="s">
        <v>687</v>
      </c>
      <c r="O170" s="134"/>
      <c r="P170" s="134" t="s">
        <v>627</v>
      </c>
      <c r="Q170" s="134"/>
      <c r="R170" s="134"/>
      <c r="S170" s="134"/>
      <c r="T170" s="135">
        <v>2329300384</v>
      </c>
      <c r="U170" s="135"/>
      <c r="V170" s="136" t="s">
        <v>626</v>
      </c>
      <c r="W170" s="136"/>
      <c r="X170" s="129">
        <v>4400</v>
      </c>
      <c r="Y170" s="129"/>
      <c r="Z170" s="129">
        <v>4400</v>
      </c>
      <c r="AA170" s="129"/>
      <c r="AB170" s="129"/>
      <c r="AC170" s="129"/>
      <c r="AD170" s="129">
        <v>0</v>
      </c>
      <c r="AE170" s="129"/>
      <c r="AF170" s="129"/>
      <c r="AG170" s="129"/>
      <c r="AH170" s="129"/>
      <c r="AI170" s="129">
        <v>0</v>
      </c>
      <c r="AJ170" s="129"/>
      <c r="AK170" s="129"/>
    </row>
    <row r="171" spans="3:37" ht="14.85" customHeight="1" x14ac:dyDescent="0.15">
      <c r="C171" s="132">
        <v>44295</v>
      </c>
      <c r="D171" s="132"/>
      <c r="E171" s="132">
        <v>44296</v>
      </c>
      <c r="F171" s="132"/>
      <c r="G171" s="132"/>
      <c r="H171" s="132"/>
      <c r="I171" s="133" t="s">
        <v>665</v>
      </c>
      <c r="J171" s="133"/>
      <c r="K171" s="133"/>
      <c r="L171" s="133"/>
      <c r="M171" s="133"/>
      <c r="N171" s="134" t="s">
        <v>664</v>
      </c>
      <c r="O171" s="134"/>
      <c r="P171" s="134" t="s">
        <v>625</v>
      </c>
      <c r="Q171" s="134"/>
      <c r="R171" s="134"/>
      <c r="S171" s="134"/>
      <c r="T171" s="135">
        <v>6073354644</v>
      </c>
      <c r="U171" s="135"/>
      <c r="V171" s="136" t="s">
        <v>618</v>
      </c>
      <c r="W171" s="136"/>
      <c r="X171" s="129">
        <v>31600</v>
      </c>
      <c r="Y171" s="129"/>
      <c r="Z171" s="129">
        <v>31600</v>
      </c>
      <c r="AA171" s="129"/>
      <c r="AB171" s="129"/>
      <c r="AC171" s="129"/>
      <c r="AD171" s="129">
        <v>0</v>
      </c>
      <c r="AE171" s="129"/>
      <c r="AF171" s="129"/>
      <c r="AG171" s="129"/>
      <c r="AH171" s="129"/>
      <c r="AI171" s="129">
        <v>0</v>
      </c>
      <c r="AJ171" s="129"/>
      <c r="AK171" s="129"/>
    </row>
    <row r="172" spans="3:37" ht="14.85" customHeight="1" x14ac:dyDescent="0.15">
      <c r="C172" s="132">
        <v>44294</v>
      </c>
      <c r="D172" s="132"/>
      <c r="E172" s="132">
        <v>44296</v>
      </c>
      <c r="F172" s="132"/>
      <c r="G172" s="132"/>
      <c r="H172" s="132"/>
      <c r="I172" s="133" t="s">
        <v>621</v>
      </c>
      <c r="J172" s="133"/>
      <c r="K172" s="133"/>
      <c r="L172" s="133"/>
      <c r="M172" s="133"/>
      <c r="N172" s="134" t="s">
        <v>687</v>
      </c>
      <c r="O172" s="134"/>
      <c r="P172" s="134" t="s">
        <v>692</v>
      </c>
      <c r="Q172" s="134"/>
      <c r="R172" s="134"/>
      <c r="S172" s="134"/>
      <c r="T172" s="135">
        <v>5304900441</v>
      </c>
      <c r="U172" s="135"/>
      <c r="V172" s="136" t="s">
        <v>618</v>
      </c>
      <c r="W172" s="136"/>
      <c r="X172" s="129">
        <v>4500</v>
      </c>
      <c r="Y172" s="129"/>
      <c r="Z172" s="129">
        <v>4091</v>
      </c>
      <c r="AA172" s="129"/>
      <c r="AB172" s="129"/>
      <c r="AC172" s="129"/>
      <c r="AD172" s="129">
        <v>409</v>
      </c>
      <c r="AE172" s="129"/>
      <c r="AF172" s="129"/>
      <c r="AG172" s="129"/>
      <c r="AH172" s="129"/>
      <c r="AI172" s="129">
        <v>0</v>
      </c>
      <c r="AJ172" s="129"/>
      <c r="AK172" s="129"/>
    </row>
    <row r="173" spans="3:37" ht="14.85" customHeight="1" x14ac:dyDescent="0.15">
      <c r="C173" s="132">
        <v>44296</v>
      </c>
      <c r="D173" s="132"/>
      <c r="E173" s="132">
        <v>44297</v>
      </c>
      <c r="F173" s="132"/>
      <c r="G173" s="132"/>
      <c r="H173" s="132"/>
      <c r="I173" s="133" t="s">
        <v>621</v>
      </c>
      <c r="J173" s="133"/>
      <c r="K173" s="133"/>
      <c r="L173" s="133"/>
      <c r="M173" s="133"/>
      <c r="N173" s="134" t="s">
        <v>687</v>
      </c>
      <c r="O173" s="134"/>
      <c r="P173" s="134" t="s">
        <v>694</v>
      </c>
      <c r="Q173" s="134"/>
      <c r="R173" s="134"/>
      <c r="S173" s="134"/>
      <c r="T173" s="135">
        <v>1310434836</v>
      </c>
      <c r="U173" s="135"/>
      <c r="V173" s="136" t="s">
        <v>618</v>
      </c>
      <c r="W173" s="136"/>
      <c r="X173" s="129">
        <v>4500</v>
      </c>
      <c r="Y173" s="129"/>
      <c r="Z173" s="129">
        <v>4091</v>
      </c>
      <c r="AA173" s="129"/>
      <c r="AB173" s="129"/>
      <c r="AC173" s="129"/>
      <c r="AD173" s="129">
        <v>409</v>
      </c>
      <c r="AE173" s="129"/>
      <c r="AF173" s="129"/>
      <c r="AG173" s="129"/>
      <c r="AH173" s="129"/>
      <c r="AI173" s="129">
        <v>0</v>
      </c>
      <c r="AJ173" s="129"/>
      <c r="AK173" s="129"/>
    </row>
    <row r="174" spans="3:37" ht="14.85" customHeight="1" x14ac:dyDescent="0.15">
      <c r="C174" s="132">
        <v>44296</v>
      </c>
      <c r="D174" s="132"/>
      <c r="E174" s="132">
        <v>44298</v>
      </c>
      <c r="F174" s="132"/>
      <c r="G174" s="132"/>
      <c r="H174" s="132"/>
      <c r="I174" s="133" t="s">
        <v>768</v>
      </c>
      <c r="J174" s="133"/>
      <c r="K174" s="133"/>
      <c r="L174" s="133"/>
      <c r="M174" s="133"/>
      <c r="N174" s="134" t="s">
        <v>664</v>
      </c>
      <c r="O174" s="134"/>
      <c r="P174" s="134" t="s">
        <v>692</v>
      </c>
      <c r="Q174" s="134"/>
      <c r="R174" s="134"/>
      <c r="S174" s="134"/>
      <c r="T174" s="135">
        <v>5304900441</v>
      </c>
      <c r="U174" s="135"/>
      <c r="V174" s="136" t="s">
        <v>618</v>
      </c>
      <c r="W174" s="136"/>
      <c r="X174" s="129">
        <v>2500</v>
      </c>
      <c r="Y174" s="129"/>
      <c r="Z174" s="129">
        <v>2273</v>
      </c>
      <c r="AA174" s="129"/>
      <c r="AB174" s="129"/>
      <c r="AC174" s="129"/>
      <c r="AD174" s="129">
        <v>227</v>
      </c>
      <c r="AE174" s="129"/>
      <c r="AF174" s="129"/>
      <c r="AG174" s="129"/>
      <c r="AH174" s="129"/>
      <c r="AI174" s="129">
        <v>0</v>
      </c>
      <c r="AJ174" s="129"/>
      <c r="AK174" s="129"/>
    </row>
    <row r="175" spans="3:37" ht="29.65" customHeight="1" x14ac:dyDescent="0.15">
      <c r="V175" s="137" t="s">
        <v>617</v>
      </c>
      <c r="W175" s="137"/>
    </row>
    <row r="176" spans="3:37" ht="14.85" customHeight="1" x14ac:dyDescent="0.15">
      <c r="C176" s="132">
        <v>44297</v>
      </c>
      <c r="D176" s="132"/>
      <c r="E176" s="132">
        <v>44298</v>
      </c>
      <c r="F176" s="132"/>
      <c r="G176" s="132"/>
      <c r="H176" s="132"/>
      <c r="I176" s="133" t="s">
        <v>621</v>
      </c>
      <c r="J176" s="133"/>
      <c r="K176" s="133"/>
      <c r="L176" s="133"/>
      <c r="M176" s="133"/>
      <c r="N176" s="134" t="s">
        <v>687</v>
      </c>
      <c r="O176" s="134"/>
      <c r="P176" s="134" t="s">
        <v>699</v>
      </c>
      <c r="Q176" s="134"/>
      <c r="R176" s="134"/>
      <c r="S176" s="134"/>
      <c r="T176" s="135">
        <v>3021040377</v>
      </c>
      <c r="U176" s="135"/>
      <c r="V176" s="136" t="s">
        <v>622</v>
      </c>
      <c r="W176" s="136"/>
      <c r="X176" s="129">
        <v>4500</v>
      </c>
      <c r="Y176" s="129"/>
      <c r="Z176" s="129">
        <v>4091</v>
      </c>
      <c r="AA176" s="129"/>
      <c r="AB176" s="129"/>
      <c r="AC176" s="129"/>
      <c r="AD176" s="129">
        <v>409</v>
      </c>
      <c r="AE176" s="129"/>
      <c r="AF176" s="129"/>
      <c r="AG176" s="129"/>
      <c r="AH176" s="129"/>
      <c r="AI176" s="129">
        <v>0</v>
      </c>
      <c r="AJ176" s="129"/>
      <c r="AK176" s="129"/>
    </row>
    <row r="177" spans="3:37" ht="14.85" customHeight="1" x14ac:dyDescent="0.15">
      <c r="C177" s="132">
        <v>44298</v>
      </c>
      <c r="D177" s="132"/>
      <c r="E177" s="132">
        <v>44299</v>
      </c>
      <c r="F177" s="132"/>
      <c r="G177" s="132"/>
      <c r="H177" s="132"/>
      <c r="I177" s="133" t="s">
        <v>621</v>
      </c>
      <c r="J177" s="133"/>
      <c r="K177" s="133"/>
      <c r="L177" s="133"/>
      <c r="M177" s="133"/>
      <c r="N177" s="134" t="s">
        <v>687</v>
      </c>
      <c r="O177" s="134"/>
      <c r="P177" s="134" t="s">
        <v>694</v>
      </c>
      <c r="Q177" s="134"/>
      <c r="R177" s="134"/>
      <c r="S177" s="134"/>
      <c r="T177" s="135">
        <v>1310434836</v>
      </c>
      <c r="U177" s="135"/>
      <c r="V177" s="136" t="s">
        <v>618</v>
      </c>
      <c r="W177" s="136"/>
      <c r="X177" s="129">
        <v>4500</v>
      </c>
      <c r="Y177" s="129"/>
      <c r="Z177" s="129">
        <v>4091</v>
      </c>
      <c r="AA177" s="129"/>
      <c r="AB177" s="129"/>
      <c r="AC177" s="129"/>
      <c r="AD177" s="129">
        <v>409</v>
      </c>
      <c r="AE177" s="129"/>
      <c r="AF177" s="129"/>
      <c r="AG177" s="129"/>
      <c r="AH177" s="129"/>
      <c r="AI177" s="129">
        <v>0</v>
      </c>
      <c r="AJ177" s="129"/>
      <c r="AK177" s="129"/>
    </row>
    <row r="178" spans="3:37" ht="14.85" customHeight="1" x14ac:dyDescent="0.15">
      <c r="C178" s="132">
        <v>44299</v>
      </c>
      <c r="D178" s="132"/>
      <c r="E178" s="132">
        <v>44300</v>
      </c>
      <c r="F178" s="132"/>
      <c r="G178" s="132"/>
      <c r="H178" s="132"/>
      <c r="I178" s="133" t="s">
        <v>621</v>
      </c>
      <c r="J178" s="133"/>
      <c r="K178" s="133"/>
      <c r="L178" s="133"/>
      <c r="M178" s="133"/>
      <c r="N178" s="134" t="s">
        <v>687</v>
      </c>
      <c r="O178" s="134"/>
      <c r="P178" s="134" t="s">
        <v>694</v>
      </c>
      <c r="Q178" s="134"/>
      <c r="R178" s="134"/>
      <c r="S178" s="134"/>
      <c r="T178" s="135">
        <v>1310434836</v>
      </c>
      <c r="U178" s="135"/>
      <c r="V178" s="136" t="s">
        <v>618</v>
      </c>
      <c r="W178" s="136"/>
      <c r="X178" s="129">
        <v>4500</v>
      </c>
      <c r="Y178" s="129"/>
      <c r="Z178" s="129">
        <v>4091</v>
      </c>
      <c r="AA178" s="129"/>
      <c r="AB178" s="129"/>
      <c r="AC178" s="129"/>
      <c r="AD178" s="129">
        <v>409</v>
      </c>
      <c r="AE178" s="129"/>
      <c r="AF178" s="129"/>
      <c r="AG178" s="129"/>
      <c r="AH178" s="129"/>
      <c r="AI178" s="129">
        <v>0</v>
      </c>
      <c r="AJ178" s="129"/>
      <c r="AK178" s="129"/>
    </row>
    <row r="179" spans="3:37" ht="14.85" customHeight="1" x14ac:dyDescent="0.15">
      <c r="C179" s="132">
        <v>44300</v>
      </c>
      <c r="D179" s="132"/>
      <c r="E179" s="132">
        <v>44301</v>
      </c>
      <c r="F179" s="132"/>
      <c r="G179" s="132"/>
      <c r="H179" s="132"/>
      <c r="I179" s="133" t="s">
        <v>621</v>
      </c>
      <c r="J179" s="133"/>
      <c r="K179" s="133"/>
      <c r="L179" s="133"/>
      <c r="M179" s="133"/>
      <c r="N179" s="134" t="s">
        <v>687</v>
      </c>
      <c r="O179" s="134"/>
      <c r="P179" s="134" t="s">
        <v>694</v>
      </c>
      <c r="Q179" s="134"/>
      <c r="R179" s="134"/>
      <c r="S179" s="134"/>
      <c r="T179" s="135">
        <v>1310434836</v>
      </c>
      <c r="U179" s="135"/>
      <c r="V179" s="136" t="s">
        <v>618</v>
      </c>
      <c r="W179" s="136"/>
      <c r="X179" s="129">
        <v>4500</v>
      </c>
      <c r="Y179" s="129"/>
      <c r="Z179" s="129">
        <v>4091</v>
      </c>
      <c r="AA179" s="129"/>
      <c r="AB179" s="129"/>
      <c r="AC179" s="129"/>
      <c r="AD179" s="129">
        <v>409</v>
      </c>
      <c r="AE179" s="129"/>
      <c r="AF179" s="129"/>
      <c r="AG179" s="129"/>
      <c r="AH179" s="129"/>
      <c r="AI179" s="129">
        <v>0</v>
      </c>
      <c r="AJ179" s="129"/>
      <c r="AK179" s="129"/>
    </row>
    <row r="180" spans="3:37" ht="14.85" customHeight="1" x14ac:dyDescent="0.15">
      <c r="C180" s="132">
        <v>44301</v>
      </c>
      <c r="D180" s="132"/>
      <c r="E180" s="132">
        <v>44303</v>
      </c>
      <c r="F180" s="132"/>
      <c r="G180" s="132"/>
      <c r="H180" s="132"/>
      <c r="I180" s="133" t="s">
        <v>665</v>
      </c>
      <c r="J180" s="133"/>
      <c r="K180" s="133"/>
      <c r="L180" s="133"/>
      <c r="M180" s="133"/>
      <c r="N180" s="134" t="s">
        <v>664</v>
      </c>
      <c r="O180" s="134"/>
      <c r="P180" s="134" t="s">
        <v>692</v>
      </c>
      <c r="Q180" s="134"/>
      <c r="R180" s="134"/>
      <c r="S180" s="134"/>
      <c r="T180" s="135">
        <v>5304900441</v>
      </c>
      <c r="U180" s="135"/>
      <c r="V180" s="136" t="s">
        <v>618</v>
      </c>
      <c r="W180" s="136"/>
      <c r="X180" s="129">
        <v>4500</v>
      </c>
      <c r="Y180" s="129"/>
      <c r="Z180" s="129">
        <v>4091</v>
      </c>
      <c r="AA180" s="129"/>
      <c r="AB180" s="129"/>
      <c r="AC180" s="129"/>
      <c r="AD180" s="129">
        <v>409</v>
      </c>
      <c r="AE180" s="129"/>
      <c r="AF180" s="129"/>
      <c r="AG180" s="129"/>
      <c r="AH180" s="129"/>
      <c r="AI180" s="129">
        <v>0</v>
      </c>
      <c r="AJ180" s="129"/>
      <c r="AK180" s="129"/>
    </row>
    <row r="181" spans="3:37" ht="14.85" customHeight="1" x14ac:dyDescent="0.15">
      <c r="C181" s="132">
        <v>44303</v>
      </c>
      <c r="D181" s="132"/>
      <c r="E181" s="132">
        <v>44304</v>
      </c>
      <c r="F181" s="132"/>
      <c r="G181" s="132"/>
      <c r="H181" s="132"/>
      <c r="I181" s="133" t="s">
        <v>621</v>
      </c>
      <c r="J181" s="133"/>
      <c r="K181" s="133"/>
      <c r="L181" s="133"/>
      <c r="M181" s="133"/>
      <c r="N181" s="134" t="s">
        <v>687</v>
      </c>
      <c r="O181" s="134"/>
      <c r="P181" s="134" t="s">
        <v>699</v>
      </c>
      <c r="Q181" s="134"/>
      <c r="R181" s="134"/>
      <c r="S181" s="134"/>
      <c r="T181" s="135">
        <v>3021040377</v>
      </c>
      <c r="U181" s="135"/>
      <c r="V181" s="136" t="s">
        <v>622</v>
      </c>
      <c r="W181" s="136"/>
      <c r="X181" s="129">
        <v>4500</v>
      </c>
      <c r="Y181" s="129"/>
      <c r="Z181" s="129">
        <v>4091</v>
      </c>
      <c r="AA181" s="129"/>
      <c r="AB181" s="129"/>
      <c r="AC181" s="129"/>
      <c r="AD181" s="129">
        <v>409</v>
      </c>
      <c r="AE181" s="129"/>
      <c r="AF181" s="129"/>
      <c r="AG181" s="129"/>
      <c r="AH181" s="129"/>
      <c r="AI181" s="129">
        <v>0</v>
      </c>
      <c r="AJ181" s="129"/>
      <c r="AK181" s="129"/>
    </row>
    <row r="182" spans="3:37" ht="14.85" customHeight="1" x14ac:dyDescent="0.15">
      <c r="C182" s="132">
        <v>44305</v>
      </c>
      <c r="D182" s="132"/>
      <c r="E182" s="132">
        <v>44305</v>
      </c>
      <c r="F182" s="132"/>
      <c r="G182" s="132"/>
      <c r="H182" s="132"/>
      <c r="I182" s="133" t="s">
        <v>621</v>
      </c>
      <c r="J182" s="133"/>
      <c r="K182" s="133"/>
      <c r="L182" s="133"/>
      <c r="M182" s="133"/>
      <c r="N182" s="134" t="s">
        <v>643</v>
      </c>
      <c r="O182" s="134"/>
      <c r="P182" s="134" t="s">
        <v>656</v>
      </c>
      <c r="Q182" s="134"/>
      <c r="R182" s="134"/>
      <c r="S182" s="134"/>
      <c r="T182" s="136"/>
      <c r="U182" s="136"/>
      <c r="V182" s="136"/>
      <c r="W182" s="136"/>
      <c r="X182" s="129">
        <v>100000</v>
      </c>
      <c r="Y182" s="129"/>
      <c r="Z182" s="129">
        <v>100000</v>
      </c>
      <c r="AA182" s="129"/>
      <c r="AB182" s="129"/>
      <c r="AC182" s="129"/>
      <c r="AD182" s="129">
        <v>0</v>
      </c>
      <c r="AE182" s="129"/>
      <c r="AF182" s="129"/>
      <c r="AG182" s="129"/>
      <c r="AH182" s="129"/>
      <c r="AI182" s="129">
        <v>0</v>
      </c>
      <c r="AJ182" s="129"/>
      <c r="AK182" s="129"/>
    </row>
    <row r="183" spans="3:37" ht="14.85" customHeight="1" x14ac:dyDescent="0.15">
      <c r="C183" s="132">
        <v>44304</v>
      </c>
      <c r="D183" s="132"/>
      <c r="E183" s="132">
        <v>44306</v>
      </c>
      <c r="F183" s="132"/>
      <c r="G183" s="132"/>
      <c r="H183" s="132"/>
      <c r="I183" s="133" t="s">
        <v>621</v>
      </c>
      <c r="J183" s="133"/>
      <c r="K183" s="133"/>
      <c r="L183" s="133"/>
      <c r="M183" s="133"/>
      <c r="N183" s="134" t="s">
        <v>687</v>
      </c>
      <c r="O183" s="134"/>
      <c r="P183" s="134" t="s">
        <v>692</v>
      </c>
      <c r="Q183" s="134"/>
      <c r="R183" s="134"/>
      <c r="S183" s="134"/>
      <c r="T183" s="135">
        <v>5304900441</v>
      </c>
      <c r="U183" s="135"/>
      <c r="V183" s="136" t="s">
        <v>618</v>
      </c>
      <c r="W183" s="136"/>
      <c r="X183" s="129">
        <v>7000</v>
      </c>
      <c r="Y183" s="129"/>
      <c r="Z183" s="129">
        <v>6364</v>
      </c>
      <c r="AA183" s="129"/>
      <c r="AB183" s="129"/>
      <c r="AC183" s="129"/>
      <c r="AD183" s="129">
        <v>636</v>
      </c>
      <c r="AE183" s="129"/>
      <c r="AF183" s="129"/>
      <c r="AG183" s="129"/>
      <c r="AH183" s="129"/>
      <c r="AI183" s="129">
        <v>0</v>
      </c>
      <c r="AJ183" s="129"/>
      <c r="AK183" s="129"/>
    </row>
    <row r="184" spans="3:37" ht="14.85" customHeight="1" x14ac:dyDescent="0.15">
      <c r="C184" s="132">
        <v>44305</v>
      </c>
      <c r="D184" s="132"/>
      <c r="E184" s="132">
        <v>44306</v>
      </c>
      <c r="F184" s="132"/>
      <c r="G184" s="132"/>
      <c r="H184" s="132"/>
      <c r="I184" s="133" t="s">
        <v>621</v>
      </c>
      <c r="J184" s="133"/>
      <c r="K184" s="133"/>
      <c r="L184" s="133"/>
      <c r="M184" s="133"/>
      <c r="N184" s="134" t="s">
        <v>687</v>
      </c>
      <c r="O184" s="134"/>
      <c r="P184" s="134" t="s">
        <v>699</v>
      </c>
      <c r="Q184" s="134"/>
      <c r="R184" s="134"/>
      <c r="S184" s="134"/>
      <c r="T184" s="135">
        <v>3021040377</v>
      </c>
      <c r="U184" s="135"/>
      <c r="V184" s="136" t="s">
        <v>622</v>
      </c>
      <c r="W184" s="136"/>
      <c r="X184" s="129">
        <v>4500</v>
      </c>
      <c r="Y184" s="129"/>
      <c r="Z184" s="129">
        <v>4091</v>
      </c>
      <c r="AA184" s="129"/>
      <c r="AB184" s="129"/>
      <c r="AC184" s="129"/>
      <c r="AD184" s="129">
        <v>409</v>
      </c>
      <c r="AE184" s="129"/>
      <c r="AF184" s="129"/>
      <c r="AG184" s="129"/>
      <c r="AH184" s="129"/>
      <c r="AI184" s="129">
        <v>0</v>
      </c>
      <c r="AJ184" s="129"/>
      <c r="AK184" s="129"/>
    </row>
    <row r="185" spans="3:37" ht="14.85" customHeight="1" x14ac:dyDescent="0.15">
      <c r="C185" s="132">
        <v>44306</v>
      </c>
      <c r="D185" s="132"/>
      <c r="E185" s="132">
        <v>44307</v>
      </c>
      <c r="F185" s="132"/>
      <c r="G185" s="132"/>
      <c r="H185" s="132"/>
      <c r="I185" s="133" t="s">
        <v>621</v>
      </c>
      <c r="J185" s="133"/>
      <c r="K185" s="133"/>
      <c r="L185" s="133"/>
      <c r="M185" s="133"/>
      <c r="N185" s="134" t="s">
        <v>687</v>
      </c>
      <c r="O185" s="134"/>
      <c r="P185" s="134" t="s">
        <v>694</v>
      </c>
      <c r="Q185" s="134"/>
      <c r="R185" s="134"/>
      <c r="S185" s="134"/>
      <c r="T185" s="135">
        <v>1310434836</v>
      </c>
      <c r="U185" s="135"/>
      <c r="V185" s="136" t="s">
        <v>618</v>
      </c>
      <c r="W185" s="136"/>
      <c r="X185" s="129">
        <v>4500</v>
      </c>
      <c r="Y185" s="129"/>
      <c r="Z185" s="129">
        <v>4091</v>
      </c>
      <c r="AA185" s="129"/>
      <c r="AB185" s="129"/>
      <c r="AC185" s="129"/>
      <c r="AD185" s="129">
        <v>409</v>
      </c>
      <c r="AE185" s="129"/>
      <c r="AF185" s="129"/>
      <c r="AG185" s="129"/>
      <c r="AH185" s="129"/>
      <c r="AI185" s="129">
        <v>0</v>
      </c>
      <c r="AJ185" s="129"/>
      <c r="AK185" s="129"/>
    </row>
    <row r="186" spans="3:37" ht="14.85" customHeight="1" x14ac:dyDescent="0.15">
      <c r="C186" s="132">
        <v>44307</v>
      </c>
      <c r="D186" s="132"/>
      <c r="E186" s="132">
        <v>44308</v>
      </c>
      <c r="F186" s="132"/>
      <c r="G186" s="132"/>
      <c r="H186" s="132"/>
      <c r="I186" s="133" t="s">
        <v>621</v>
      </c>
      <c r="J186" s="133"/>
      <c r="K186" s="133"/>
      <c r="L186" s="133"/>
      <c r="M186" s="133"/>
      <c r="N186" s="134" t="s">
        <v>687</v>
      </c>
      <c r="O186" s="134"/>
      <c r="P186" s="134" t="s">
        <v>694</v>
      </c>
      <c r="Q186" s="134"/>
      <c r="R186" s="134"/>
      <c r="S186" s="134"/>
      <c r="T186" s="135">
        <v>1310434836</v>
      </c>
      <c r="U186" s="135"/>
      <c r="V186" s="136" t="s">
        <v>618</v>
      </c>
      <c r="W186" s="136"/>
      <c r="X186" s="129">
        <v>4500</v>
      </c>
      <c r="Y186" s="129"/>
      <c r="Z186" s="129">
        <v>4091</v>
      </c>
      <c r="AA186" s="129"/>
      <c r="AB186" s="129"/>
      <c r="AC186" s="129"/>
      <c r="AD186" s="129">
        <v>409</v>
      </c>
      <c r="AE186" s="129"/>
      <c r="AF186" s="129"/>
      <c r="AG186" s="129"/>
      <c r="AH186" s="129"/>
      <c r="AI186" s="129">
        <v>0</v>
      </c>
      <c r="AJ186" s="129"/>
      <c r="AK186" s="129"/>
    </row>
    <row r="187" spans="3:37" ht="14.85" customHeight="1" x14ac:dyDescent="0.15">
      <c r="C187" s="132">
        <v>44309</v>
      </c>
      <c r="D187" s="132"/>
      <c r="E187" s="132">
        <v>44310</v>
      </c>
      <c r="F187" s="132"/>
      <c r="G187" s="132"/>
      <c r="H187" s="132"/>
      <c r="I187" s="133" t="s">
        <v>621</v>
      </c>
      <c r="J187" s="133"/>
      <c r="K187" s="133"/>
      <c r="L187" s="133"/>
      <c r="M187" s="133"/>
      <c r="N187" s="134" t="s">
        <v>687</v>
      </c>
      <c r="O187" s="134"/>
      <c r="P187" s="134" t="s">
        <v>694</v>
      </c>
      <c r="Q187" s="134"/>
      <c r="R187" s="134"/>
      <c r="S187" s="134"/>
      <c r="T187" s="135">
        <v>1310434836</v>
      </c>
      <c r="U187" s="135"/>
      <c r="V187" s="136" t="s">
        <v>618</v>
      </c>
      <c r="W187" s="136"/>
      <c r="X187" s="129">
        <v>4500</v>
      </c>
      <c r="Y187" s="129"/>
      <c r="Z187" s="129">
        <v>4091</v>
      </c>
      <c r="AA187" s="129"/>
      <c r="AB187" s="129"/>
      <c r="AC187" s="129"/>
      <c r="AD187" s="129">
        <v>409</v>
      </c>
      <c r="AE187" s="129"/>
      <c r="AF187" s="129"/>
      <c r="AG187" s="129"/>
      <c r="AH187" s="129"/>
      <c r="AI187" s="129">
        <v>0</v>
      </c>
      <c r="AJ187" s="129"/>
      <c r="AK187" s="129"/>
    </row>
    <row r="188" spans="3:37" ht="14.85" customHeight="1" x14ac:dyDescent="0.15">
      <c r="C188" s="132">
        <v>44310</v>
      </c>
      <c r="D188" s="132"/>
      <c r="E188" s="132">
        <v>44312</v>
      </c>
      <c r="F188" s="132"/>
      <c r="G188" s="132"/>
      <c r="H188" s="132"/>
      <c r="I188" s="133" t="s">
        <v>665</v>
      </c>
      <c r="J188" s="133"/>
      <c r="K188" s="133"/>
      <c r="L188" s="133"/>
      <c r="M188" s="133"/>
      <c r="N188" s="134" t="s">
        <v>664</v>
      </c>
      <c r="O188" s="134"/>
      <c r="P188" s="134" t="s">
        <v>692</v>
      </c>
      <c r="Q188" s="134"/>
      <c r="R188" s="134"/>
      <c r="S188" s="134"/>
      <c r="T188" s="135">
        <v>5304900441</v>
      </c>
      <c r="U188" s="135"/>
      <c r="V188" s="136" t="s">
        <v>618</v>
      </c>
      <c r="W188" s="136"/>
      <c r="X188" s="129">
        <v>4500</v>
      </c>
      <c r="Y188" s="129"/>
      <c r="Z188" s="129">
        <v>4091</v>
      </c>
      <c r="AA188" s="129"/>
      <c r="AB188" s="129"/>
      <c r="AC188" s="129"/>
      <c r="AD188" s="129">
        <v>409</v>
      </c>
      <c r="AE188" s="129"/>
      <c r="AF188" s="129"/>
      <c r="AG188" s="129"/>
      <c r="AH188" s="129"/>
      <c r="AI188" s="129">
        <v>0</v>
      </c>
      <c r="AJ188" s="129"/>
      <c r="AK188" s="129"/>
    </row>
    <row r="189" spans="3:37" ht="14.85" customHeight="1" x14ac:dyDescent="0.15">
      <c r="C189" s="132">
        <v>44312</v>
      </c>
      <c r="D189" s="132"/>
      <c r="E189" s="132">
        <v>44313</v>
      </c>
      <c r="F189" s="132"/>
      <c r="G189" s="132"/>
      <c r="H189" s="132"/>
      <c r="I189" s="133" t="s">
        <v>665</v>
      </c>
      <c r="J189" s="133"/>
      <c r="K189" s="133"/>
      <c r="L189" s="133"/>
      <c r="M189" s="133"/>
      <c r="N189" s="134" t="s">
        <v>664</v>
      </c>
      <c r="O189" s="134"/>
      <c r="P189" s="134" t="s">
        <v>694</v>
      </c>
      <c r="Q189" s="134"/>
      <c r="R189" s="134"/>
      <c r="S189" s="134"/>
      <c r="T189" s="135">
        <v>1310434836</v>
      </c>
      <c r="U189" s="135"/>
      <c r="V189" s="136" t="s">
        <v>618</v>
      </c>
      <c r="W189" s="136"/>
      <c r="X189" s="129">
        <v>4500</v>
      </c>
      <c r="Y189" s="129"/>
      <c r="Z189" s="129">
        <v>4091</v>
      </c>
      <c r="AA189" s="129"/>
      <c r="AB189" s="129"/>
      <c r="AC189" s="129"/>
      <c r="AD189" s="129">
        <v>409</v>
      </c>
      <c r="AE189" s="129"/>
      <c r="AF189" s="129"/>
      <c r="AG189" s="129"/>
      <c r="AH189" s="129"/>
      <c r="AI189" s="129">
        <v>0</v>
      </c>
      <c r="AJ189" s="129"/>
      <c r="AK189" s="129"/>
    </row>
    <row r="190" spans="3:37" ht="14.85" customHeight="1" x14ac:dyDescent="0.15">
      <c r="C190" s="132">
        <v>44313</v>
      </c>
      <c r="D190" s="132"/>
      <c r="E190" s="132">
        <v>44315</v>
      </c>
      <c r="F190" s="132"/>
      <c r="G190" s="132"/>
      <c r="H190" s="132"/>
      <c r="I190" s="133" t="s">
        <v>665</v>
      </c>
      <c r="J190" s="133"/>
      <c r="K190" s="133"/>
      <c r="L190" s="133"/>
      <c r="M190" s="133"/>
      <c r="N190" s="134" t="s">
        <v>664</v>
      </c>
      <c r="O190" s="134"/>
      <c r="P190" s="134" t="s">
        <v>692</v>
      </c>
      <c r="Q190" s="134"/>
      <c r="R190" s="134"/>
      <c r="S190" s="134"/>
      <c r="T190" s="135">
        <v>5304900441</v>
      </c>
      <c r="U190" s="135"/>
      <c r="V190" s="136" t="s">
        <v>618</v>
      </c>
      <c r="W190" s="136"/>
      <c r="X190" s="129">
        <v>4500</v>
      </c>
      <c r="Y190" s="129"/>
      <c r="Z190" s="129">
        <v>4091</v>
      </c>
      <c r="AA190" s="129"/>
      <c r="AB190" s="129"/>
      <c r="AC190" s="129"/>
      <c r="AD190" s="129">
        <v>409</v>
      </c>
      <c r="AE190" s="129"/>
      <c r="AF190" s="129"/>
      <c r="AG190" s="129"/>
      <c r="AH190" s="129"/>
      <c r="AI190" s="129">
        <v>0</v>
      </c>
      <c r="AJ190" s="129"/>
      <c r="AK190" s="129"/>
    </row>
    <row r="191" spans="3:37" ht="14.85" customHeight="1" x14ac:dyDescent="0.15">
      <c r="C191" s="132">
        <v>44314</v>
      </c>
      <c r="D191" s="132"/>
      <c r="E191" s="132">
        <v>44315</v>
      </c>
      <c r="F191" s="132"/>
      <c r="G191" s="132"/>
      <c r="H191" s="132"/>
      <c r="I191" s="133" t="s">
        <v>665</v>
      </c>
      <c r="J191" s="133"/>
      <c r="K191" s="133"/>
      <c r="L191" s="133"/>
      <c r="M191" s="133"/>
      <c r="N191" s="134" t="s">
        <v>664</v>
      </c>
      <c r="O191" s="134"/>
      <c r="P191" s="134" t="s">
        <v>694</v>
      </c>
      <c r="Q191" s="134"/>
      <c r="R191" s="134"/>
      <c r="S191" s="134"/>
      <c r="T191" s="135">
        <v>1310434836</v>
      </c>
      <c r="U191" s="135"/>
      <c r="V191" s="136" t="s">
        <v>618</v>
      </c>
      <c r="W191" s="136"/>
      <c r="X191" s="129">
        <v>4500</v>
      </c>
      <c r="Y191" s="129"/>
      <c r="Z191" s="129">
        <v>4091</v>
      </c>
      <c r="AA191" s="129"/>
      <c r="AB191" s="129"/>
      <c r="AC191" s="129"/>
      <c r="AD191" s="129">
        <v>409</v>
      </c>
      <c r="AE191" s="129"/>
      <c r="AF191" s="129"/>
      <c r="AG191" s="129"/>
      <c r="AH191" s="129"/>
      <c r="AI191" s="129">
        <v>0</v>
      </c>
      <c r="AJ191" s="129"/>
      <c r="AK191" s="129"/>
    </row>
    <row r="192" spans="3:37" ht="14.85" customHeight="1" x14ac:dyDescent="0.15">
      <c r="C192" s="132">
        <v>44316</v>
      </c>
      <c r="D192" s="132"/>
      <c r="E192" s="132">
        <v>44317</v>
      </c>
      <c r="F192" s="132"/>
      <c r="G192" s="132"/>
      <c r="H192" s="132"/>
      <c r="I192" s="133" t="s">
        <v>665</v>
      </c>
      <c r="J192" s="133"/>
      <c r="K192" s="133"/>
      <c r="L192" s="133"/>
      <c r="M192" s="133"/>
      <c r="N192" s="134" t="s">
        <v>664</v>
      </c>
      <c r="O192" s="134"/>
      <c r="P192" s="134" t="s">
        <v>694</v>
      </c>
      <c r="Q192" s="134"/>
      <c r="R192" s="134"/>
      <c r="S192" s="134"/>
      <c r="T192" s="135">
        <v>1310434836</v>
      </c>
      <c r="U192" s="135"/>
      <c r="V192" s="136" t="s">
        <v>618</v>
      </c>
      <c r="W192" s="136"/>
      <c r="X192" s="129">
        <v>4500</v>
      </c>
      <c r="Y192" s="129"/>
      <c r="Z192" s="129">
        <v>4091</v>
      </c>
      <c r="AA192" s="129"/>
      <c r="AB192" s="129"/>
      <c r="AC192" s="129"/>
      <c r="AD192" s="129">
        <v>409</v>
      </c>
      <c r="AE192" s="129"/>
      <c r="AF192" s="129"/>
      <c r="AG192" s="129"/>
      <c r="AH192" s="129"/>
      <c r="AI192" s="129">
        <v>0</v>
      </c>
      <c r="AJ192" s="129"/>
      <c r="AK192" s="129"/>
    </row>
    <row r="193" spans="3:37" ht="14.85" customHeight="1" x14ac:dyDescent="0.15">
      <c r="C193" s="132">
        <v>44317</v>
      </c>
      <c r="D193" s="132"/>
      <c r="E193" s="132">
        <v>44319</v>
      </c>
      <c r="F193" s="132"/>
      <c r="G193" s="132"/>
      <c r="H193" s="132"/>
      <c r="I193" s="133" t="s">
        <v>665</v>
      </c>
      <c r="J193" s="133"/>
      <c r="K193" s="133"/>
      <c r="L193" s="133"/>
      <c r="M193" s="133"/>
      <c r="N193" s="134" t="s">
        <v>664</v>
      </c>
      <c r="O193" s="134"/>
      <c r="P193" s="134" t="s">
        <v>692</v>
      </c>
      <c r="Q193" s="134"/>
      <c r="R193" s="134"/>
      <c r="S193" s="134"/>
      <c r="T193" s="135">
        <v>5304900441</v>
      </c>
      <c r="U193" s="135"/>
      <c r="V193" s="136" t="s">
        <v>618</v>
      </c>
      <c r="W193" s="136"/>
      <c r="X193" s="129">
        <v>4500</v>
      </c>
      <c r="Y193" s="129"/>
      <c r="Z193" s="129">
        <v>4091</v>
      </c>
      <c r="AA193" s="129"/>
      <c r="AB193" s="129"/>
      <c r="AC193" s="129"/>
      <c r="AD193" s="129">
        <v>409</v>
      </c>
      <c r="AE193" s="129"/>
      <c r="AF193" s="129"/>
      <c r="AG193" s="129"/>
      <c r="AH193" s="129"/>
      <c r="AI193" s="129">
        <v>0</v>
      </c>
      <c r="AJ193" s="129"/>
      <c r="AK193" s="129"/>
    </row>
    <row r="194" spans="3:37" ht="14.85" customHeight="1" x14ac:dyDescent="0.15">
      <c r="C194" s="132">
        <v>44318</v>
      </c>
      <c r="D194" s="132"/>
      <c r="E194" s="132">
        <v>44319</v>
      </c>
      <c r="F194" s="132"/>
      <c r="G194" s="132"/>
      <c r="H194" s="132"/>
      <c r="I194" s="133" t="s">
        <v>665</v>
      </c>
      <c r="J194" s="133"/>
      <c r="K194" s="133"/>
      <c r="L194" s="133"/>
      <c r="M194" s="133"/>
      <c r="N194" s="134" t="s">
        <v>664</v>
      </c>
      <c r="O194" s="134"/>
      <c r="P194" s="134" t="s">
        <v>694</v>
      </c>
      <c r="Q194" s="134"/>
      <c r="R194" s="134"/>
      <c r="S194" s="134"/>
      <c r="T194" s="135">
        <v>1310434836</v>
      </c>
      <c r="U194" s="135"/>
      <c r="V194" s="136" t="s">
        <v>618</v>
      </c>
      <c r="W194" s="136"/>
      <c r="X194" s="129">
        <v>4500</v>
      </c>
      <c r="Y194" s="129"/>
      <c r="Z194" s="129">
        <v>4091</v>
      </c>
      <c r="AA194" s="129"/>
      <c r="AB194" s="129"/>
      <c r="AC194" s="129"/>
      <c r="AD194" s="129">
        <v>409</v>
      </c>
      <c r="AE194" s="129"/>
      <c r="AF194" s="129"/>
      <c r="AG194" s="129"/>
      <c r="AH194" s="129"/>
      <c r="AI194" s="129">
        <v>0</v>
      </c>
      <c r="AJ194" s="129"/>
      <c r="AK194" s="129"/>
    </row>
    <row r="195" spans="3:37" ht="14.85" customHeight="1" x14ac:dyDescent="0.15">
      <c r="C195" s="132">
        <v>44286</v>
      </c>
      <c r="D195" s="132"/>
      <c r="E195" s="132">
        <v>44320</v>
      </c>
      <c r="F195" s="132"/>
      <c r="G195" s="132"/>
      <c r="H195" s="132"/>
      <c r="I195" s="133" t="s">
        <v>621</v>
      </c>
      <c r="J195" s="133"/>
      <c r="K195" s="133"/>
      <c r="L195" s="133"/>
      <c r="M195" s="133"/>
      <c r="N195" s="134" t="s">
        <v>687</v>
      </c>
      <c r="O195" s="134"/>
      <c r="P195" s="134" t="s">
        <v>767</v>
      </c>
      <c r="Q195" s="134"/>
      <c r="R195" s="134"/>
      <c r="S195" s="134"/>
      <c r="T195" s="135">
        <v>1318215327</v>
      </c>
      <c r="U195" s="135"/>
      <c r="V195" s="136" t="s">
        <v>618</v>
      </c>
      <c r="W195" s="136"/>
      <c r="X195" s="129">
        <v>9550</v>
      </c>
      <c r="Y195" s="129"/>
      <c r="Z195" s="129">
        <v>9550</v>
      </c>
      <c r="AA195" s="129"/>
      <c r="AB195" s="129"/>
      <c r="AC195" s="129"/>
      <c r="AD195" s="129">
        <v>0</v>
      </c>
      <c r="AE195" s="129"/>
      <c r="AF195" s="129"/>
      <c r="AG195" s="129"/>
      <c r="AH195" s="129"/>
      <c r="AI195" s="129">
        <v>0</v>
      </c>
      <c r="AJ195" s="129"/>
      <c r="AK195" s="129"/>
    </row>
    <row r="196" spans="3:37" ht="14.85" customHeight="1" x14ac:dyDescent="0.15">
      <c r="C196" s="132">
        <v>44286</v>
      </c>
      <c r="D196" s="132"/>
      <c r="E196" s="132">
        <v>44320</v>
      </c>
      <c r="F196" s="132"/>
      <c r="G196" s="132"/>
      <c r="H196" s="132"/>
      <c r="I196" s="133" t="s">
        <v>621</v>
      </c>
      <c r="J196" s="133"/>
      <c r="K196" s="133"/>
      <c r="L196" s="133"/>
      <c r="M196" s="133"/>
      <c r="N196" s="134" t="s">
        <v>687</v>
      </c>
      <c r="O196" s="134"/>
      <c r="P196" s="134" t="s">
        <v>766</v>
      </c>
      <c r="Q196" s="134"/>
      <c r="R196" s="134"/>
      <c r="S196" s="134"/>
      <c r="T196" s="135">
        <v>1048183559</v>
      </c>
      <c r="U196" s="135"/>
      <c r="V196" s="136" t="s">
        <v>618</v>
      </c>
      <c r="W196" s="136"/>
      <c r="X196" s="129">
        <v>3200</v>
      </c>
      <c r="Y196" s="129"/>
      <c r="Z196" s="129">
        <v>3200</v>
      </c>
      <c r="AA196" s="129"/>
      <c r="AB196" s="129"/>
      <c r="AC196" s="129"/>
      <c r="AD196" s="129">
        <v>0</v>
      </c>
      <c r="AE196" s="129"/>
      <c r="AF196" s="129"/>
      <c r="AG196" s="129"/>
      <c r="AH196" s="129"/>
      <c r="AI196" s="129">
        <v>0</v>
      </c>
      <c r="AJ196" s="129"/>
      <c r="AK196" s="129"/>
    </row>
    <row r="197" spans="3:37" ht="14.85" customHeight="1" x14ac:dyDescent="0.15">
      <c r="C197" s="132">
        <v>44286</v>
      </c>
      <c r="D197" s="132"/>
      <c r="E197" s="132">
        <v>44320</v>
      </c>
      <c r="F197" s="132"/>
      <c r="G197" s="132"/>
      <c r="H197" s="132"/>
      <c r="I197" s="133" t="s">
        <v>621</v>
      </c>
      <c r="J197" s="133"/>
      <c r="K197" s="133"/>
      <c r="L197" s="133"/>
      <c r="M197" s="133"/>
      <c r="N197" s="134" t="s">
        <v>687</v>
      </c>
      <c r="O197" s="134"/>
      <c r="P197" s="134" t="s">
        <v>765</v>
      </c>
      <c r="Q197" s="134"/>
      <c r="R197" s="134"/>
      <c r="S197" s="134"/>
      <c r="T197" s="135">
        <v>1048183559</v>
      </c>
      <c r="U197" s="135"/>
      <c r="V197" s="136" t="s">
        <v>618</v>
      </c>
      <c r="W197" s="136"/>
      <c r="X197" s="129">
        <v>0</v>
      </c>
      <c r="Y197" s="129"/>
      <c r="Z197" s="129">
        <v>0</v>
      </c>
      <c r="AA197" s="129"/>
      <c r="AB197" s="129"/>
      <c r="AC197" s="129"/>
      <c r="AD197" s="129">
        <v>0</v>
      </c>
      <c r="AE197" s="129"/>
      <c r="AF197" s="129"/>
      <c r="AG197" s="129"/>
      <c r="AH197" s="129"/>
      <c r="AI197" s="129">
        <v>0</v>
      </c>
      <c r="AJ197" s="129"/>
      <c r="AK197" s="129"/>
    </row>
    <row r="198" spans="3:37" ht="14.85" customHeight="1" x14ac:dyDescent="0.15">
      <c r="C198" s="132">
        <v>44319</v>
      </c>
      <c r="D198" s="132"/>
      <c r="E198" s="132">
        <v>44320</v>
      </c>
      <c r="F198" s="132"/>
      <c r="G198" s="132"/>
      <c r="H198" s="132"/>
      <c r="I198" s="133" t="s">
        <v>621</v>
      </c>
      <c r="J198" s="133"/>
      <c r="K198" s="133"/>
      <c r="L198" s="133"/>
      <c r="M198" s="133"/>
      <c r="N198" s="134" t="s">
        <v>687</v>
      </c>
      <c r="O198" s="134"/>
      <c r="P198" s="134" t="s">
        <v>764</v>
      </c>
      <c r="Q198" s="134"/>
      <c r="R198" s="134"/>
      <c r="S198" s="134"/>
      <c r="T198" s="135">
        <v>1312720762</v>
      </c>
      <c r="U198" s="135"/>
      <c r="V198" s="136" t="s">
        <v>618</v>
      </c>
      <c r="W198" s="136"/>
      <c r="X198" s="129">
        <v>47000</v>
      </c>
      <c r="Y198" s="129"/>
      <c r="Z198" s="129">
        <v>42727</v>
      </c>
      <c r="AA198" s="129"/>
      <c r="AB198" s="129"/>
      <c r="AC198" s="129"/>
      <c r="AD198" s="129">
        <v>4273</v>
      </c>
      <c r="AE198" s="129"/>
      <c r="AF198" s="129"/>
      <c r="AG198" s="129"/>
      <c r="AH198" s="129"/>
      <c r="AI198" s="129">
        <v>0</v>
      </c>
      <c r="AJ198" s="129"/>
      <c r="AK198" s="129"/>
    </row>
    <row r="199" spans="3:37" ht="14.85" customHeight="1" x14ac:dyDescent="0.15">
      <c r="C199" s="132">
        <v>44286</v>
      </c>
      <c r="D199" s="132"/>
      <c r="E199" s="132">
        <v>44320</v>
      </c>
      <c r="F199" s="132"/>
      <c r="G199" s="132"/>
      <c r="H199" s="132"/>
      <c r="I199" s="133" t="s">
        <v>621</v>
      </c>
      <c r="J199" s="133"/>
      <c r="K199" s="133"/>
      <c r="L199" s="133"/>
      <c r="M199" s="133"/>
      <c r="N199" s="134" t="s">
        <v>620</v>
      </c>
      <c r="O199" s="134"/>
      <c r="P199" s="134" t="s">
        <v>640</v>
      </c>
      <c r="Q199" s="134"/>
      <c r="R199" s="134"/>
      <c r="S199" s="134"/>
      <c r="T199" s="135">
        <v>2028148079</v>
      </c>
      <c r="U199" s="135"/>
      <c r="V199" s="136" t="s">
        <v>618</v>
      </c>
      <c r="W199" s="136"/>
      <c r="X199" s="129">
        <v>200</v>
      </c>
      <c r="Y199" s="129"/>
      <c r="Z199" s="129">
        <v>200</v>
      </c>
      <c r="AA199" s="129"/>
      <c r="AB199" s="129"/>
      <c r="AC199" s="129"/>
      <c r="AD199" s="129">
        <v>0</v>
      </c>
      <c r="AE199" s="129"/>
      <c r="AF199" s="129"/>
      <c r="AG199" s="129"/>
      <c r="AH199" s="129"/>
      <c r="AI199" s="129">
        <v>0</v>
      </c>
      <c r="AJ199" s="129"/>
      <c r="AK199" s="129"/>
    </row>
    <row r="200" spans="3:37" ht="14.85" customHeight="1" x14ac:dyDescent="0.15">
      <c r="C200" s="132">
        <v>44320</v>
      </c>
      <c r="D200" s="132"/>
      <c r="E200" s="132">
        <v>44320</v>
      </c>
      <c r="F200" s="132"/>
      <c r="G200" s="132"/>
      <c r="H200" s="132"/>
      <c r="I200" s="133" t="s">
        <v>621</v>
      </c>
      <c r="J200" s="133"/>
      <c r="K200" s="133"/>
      <c r="L200" s="133"/>
      <c r="M200" s="133"/>
      <c r="N200" s="134" t="s">
        <v>643</v>
      </c>
      <c r="O200" s="134"/>
      <c r="P200" s="134" t="s">
        <v>656</v>
      </c>
      <c r="Q200" s="134"/>
      <c r="R200" s="134"/>
      <c r="S200" s="134"/>
      <c r="T200" s="136"/>
      <c r="U200" s="136"/>
      <c r="V200" s="136"/>
      <c r="W200" s="136"/>
      <c r="X200" s="129">
        <v>400000</v>
      </c>
      <c r="Y200" s="129"/>
      <c r="Z200" s="129">
        <v>400000</v>
      </c>
      <c r="AA200" s="129"/>
      <c r="AB200" s="129"/>
      <c r="AC200" s="129"/>
      <c r="AD200" s="129">
        <v>0</v>
      </c>
      <c r="AE200" s="129"/>
      <c r="AF200" s="129"/>
      <c r="AG200" s="129"/>
      <c r="AH200" s="129"/>
      <c r="AI200" s="129">
        <v>0</v>
      </c>
      <c r="AJ200" s="129"/>
      <c r="AK200" s="129"/>
    </row>
    <row r="201" spans="3:37" ht="14.85" customHeight="1" x14ac:dyDescent="0.15">
      <c r="C201" s="132">
        <v>44320</v>
      </c>
      <c r="D201" s="132"/>
      <c r="E201" s="132">
        <v>44321</v>
      </c>
      <c r="F201" s="132"/>
      <c r="G201" s="132"/>
      <c r="H201" s="132"/>
      <c r="I201" s="133" t="s">
        <v>621</v>
      </c>
      <c r="J201" s="133"/>
      <c r="K201" s="133"/>
      <c r="L201" s="133"/>
      <c r="M201" s="133"/>
      <c r="N201" s="134" t="s">
        <v>687</v>
      </c>
      <c r="O201" s="134"/>
      <c r="P201" s="134" t="s">
        <v>694</v>
      </c>
      <c r="Q201" s="134"/>
      <c r="R201" s="134"/>
      <c r="S201" s="134"/>
      <c r="T201" s="135">
        <v>1310434836</v>
      </c>
      <c r="U201" s="135"/>
      <c r="V201" s="136" t="s">
        <v>618</v>
      </c>
      <c r="W201" s="136"/>
      <c r="X201" s="129">
        <v>4500</v>
      </c>
      <c r="Y201" s="129"/>
      <c r="Z201" s="129">
        <v>4091</v>
      </c>
      <c r="AA201" s="129"/>
      <c r="AB201" s="129"/>
      <c r="AC201" s="129"/>
      <c r="AD201" s="129">
        <v>409</v>
      </c>
      <c r="AE201" s="129"/>
      <c r="AF201" s="129"/>
      <c r="AG201" s="129"/>
      <c r="AH201" s="129"/>
      <c r="AI201" s="129">
        <v>0</v>
      </c>
      <c r="AJ201" s="129"/>
      <c r="AK201" s="129"/>
    </row>
    <row r="202" spans="3:37" ht="14.85" customHeight="1" x14ac:dyDescent="0.15">
      <c r="C202" s="132">
        <v>44321</v>
      </c>
      <c r="D202" s="132"/>
      <c r="E202" s="132">
        <v>44322</v>
      </c>
      <c r="F202" s="132"/>
      <c r="G202" s="132"/>
      <c r="H202" s="132"/>
      <c r="I202" s="133" t="s">
        <v>621</v>
      </c>
      <c r="J202" s="133"/>
      <c r="K202" s="133"/>
      <c r="L202" s="133"/>
      <c r="M202" s="133"/>
      <c r="N202" s="134" t="s">
        <v>687</v>
      </c>
      <c r="O202" s="134"/>
      <c r="P202" s="134" t="s">
        <v>763</v>
      </c>
      <c r="Q202" s="134"/>
      <c r="R202" s="134"/>
      <c r="S202" s="134"/>
      <c r="T202" s="135">
        <v>1312046287</v>
      </c>
      <c r="U202" s="135"/>
      <c r="V202" s="136" t="s">
        <v>618</v>
      </c>
      <c r="W202" s="136"/>
      <c r="X202" s="129">
        <v>13000</v>
      </c>
      <c r="Y202" s="129"/>
      <c r="Z202" s="129">
        <v>13000</v>
      </c>
      <c r="AA202" s="129"/>
      <c r="AB202" s="129"/>
      <c r="AC202" s="129"/>
      <c r="AD202" s="129">
        <v>0</v>
      </c>
      <c r="AE202" s="129"/>
      <c r="AF202" s="129"/>
      <c r="AG202" s="129"/>
      <c r="AH202" s="129"/>
      <c r="AI202" s="129">
        <v>0</v>
      </c>
      <c r="AJ202" s="129"/>
      <c r="AK202" s="129"/>
    </row>
    <row r="203" spans="3:37" ht="14.85" customHeight="1" x14ac:dyDescent="0.15">
      <c r="C203" s="132">
        <v>44321</v>
      </c>
      <c r="D203" s="132"/>
      <c r="E203" s="132">
        <v>44322</v>
      </c>
      <c r="F203" s="132"/>
      <c r="G203" s="132"/>
      <c r="H203" s="132"/>
      <c r="I203" s="133" t="s">
        <v>621</v>
      </c>
      <c r="J203" s="133"/>
      <c r="K203" s="133"/>
      <c r="L203" s="133"/>
      <c r="M203" s="133"/>
      <c r="N203" s="134" t="s">
        <v>687</v>
      </c>
      <c r="O203" s="134"/>
      <c r="P203" s="134" t="s">
        <v>681</v>
      </c>
      <c r="Q203" s="134"/>
      <c r="R203" s="134"/>
      <c r="S203" s="134"/>
      <c r="T203" s="135">
        <v>1168119477</v>
      </c>
      <c r="U203" s="135"/>
      <c r="V203" s="136" t="s">
        <v>618</v>
      </c>
      <c r="W203" s="136"/>
      <c r="X203" s="129">
        <v>1400</v>
      </c>
      <c r="Y203" s="129"/>
      <c r="Z203" s="129">
        <v>1400</v>
      </c>
      <c r="AA203" s="129"/>
      <c r="AB203" s="129"/>
      <c r="AC203" s="129"/>
      <c r="AD203" s="129">
        <v>0</v>
      </c>
      <c r="AE203" s="129"/>
      <c r="AF203" s="129"/>
      <c r="AG203" s="129"/>
      <c r="AH203" s="129"/>
      <c r="AI203" s="129">
        <v>0</v>
      </c>
      <c r="AJ203" s="129"/>
      <c r="AK203" s="129"/>
    </row>
    <row r="204" spans="3:37" ht="14.85" customHeight="1" x14ac:dyDescent="0.15">
      <c r="C204" s="132">
        <v>44321</v>
      </c>
      <c r="D204" s="132"/>
      <c r="E204" s="132">
        <v>44323</v>
      </c>
      <c r="F204" s="132"/>
      <c r="G204" s="132"/>
      <c r="H204" s="132"/>
      <c r="I204" s="133" t="s">
        <v>621</v>
      </c>
      <c r="J204" s="133"/>
      <c r="K204" s="133"/>
      <c r="L204" s="133"/>
      <c r="M204" s="133"/>
      <c r="N204" s="134" t="s">
        <v>687</v>
      </c>
      <c r="O204" s="134"/>
      <c r="P204" s="134" t="s">
        <v>692</v>
      </c>
      <c r="Q204" s="134"/>
      <c r="R204" s="134"/>
      <c r="S204" s="134"/>
      <c r="T204" s="135">
        <v>5304900441</v>
      </c>
      <c r="U204" s="135"/>
      <c r="V204" s="136" t="s">
        <v>618</v>
      </c>
      <c r="W204" s="136"/>
      <c r="X204" s="129">
        <v>4500</v>
      </c>
      <c r="Y204" s="129"/>
      <c r="Z204" s="129">
        <v>4091</v>
      </c>
      <c r="AA204" s="129"/>
      <c r="AB204" s="129"/>
      <c r="AC204" s="129"/>
      <c r="AD204" s="129">
        <v>409</v>
      </c>
      <c r="AE204" s="129"/>
      <c r="AF204" s="129"/>
      <c r="AG204" s="129"/>
      <c r="AH204" s="129"/>
      <c r="AI204" s="129">
        <v>0</v>
      </c>
      <c r="AJ204" s="129"/>
      <c r="AK204" s="129"/>
    </row>
    <row r="205" spans="3:37" ht="14.85" customHeight="1" x14ac:dyDescent="0.15">
      <c r="C205" s="132">
        <v>44322</v>
      </c>
      <c r="D205" s="132"/>
      <c r="E205" s="132">
        <v>44323</v>
      </c>
      <c r="F205" s="132"/>
      <c r="G205" s="132"/>
      <c r="H205" s="132"/>
      <c r="I205" s="133" t="s">
        <v>621</v>
      </c>
      <c r="J205" s="133"/>
      <c r="K205" s="133"/>
      <c r="L205" s="133"/>
      <c r="M205" s="133"/>
      <c r="N205" s="134" t="s">
        <v>687</v>
      </c>
      <c r="O205" s="134"/>
      <c r="P205" s="134" t="s">
        <v>694</v>
      </c>
      <c r="Q205" s="134"/>
      <c r="R205" s="134"/>
      <c r="S205" s="134"/>
      <c r="T205" s="135">
        <v>1310434836</v>
      </c>
      <c r="U205" s="135"/>
      <c r="V205" s="136" t="s">
        <v>618</v>
      </c>
      <c r="W205" s="136"/>
      <c r="X205" s="129">
        <v>4500</v>
      </c>
      <c r="Y205" s="129"/>
      <c r="Z205" s="129">
        <v>4091</v>
      </c>
      <c r="AA205" s="129"/>
      <c r="AB205" s="129"/>
      <c r="AC205" s="129"/>
      <c r="AD205" s="129">
        <v>409</v>
      </c>
      <c r="AE205" s="129"/>
      <c r="AF205" s="129"/>
      <c r="AG205" s="129"/>
      <c r="AH205" s="129"/>
      <c r="AI205" s="129">
        <v>0</v>
      </c>
      <c r="AJ205" s="129"/>
      <c r="AK205" s="129"/>
    </row>
    <row r="206" spans="3:37" ht="14.85" customHeight="1" x14ac:dyDescent="0.15">
      <c r="C206" s="132">
        <v>44323</v>
      </c>
      <c r="D206" s="132"/>
      <c r="E206" s="132">
        <v>44324</v>
      </c>
      <c r="F206" s="132"/>
      <c r="G206" s="132"/>
      <c r="H206" s="132"/>
      <c r="I206" s="133" t="s">
        <v>621</v>
      </c>
      <c r="J206" s="133"/>
      <c r="K206" s="133"/>
      <c r="L206" s="133"/>
      <c r="M206" s="133"/>
      <c r="N206" s="134" t="s">
        <v>687</v>
      </c>
      <c r="O206" s="134"/>
      <c r="P206" s="134" t="s">
        <v>759</v>
      </c>
      <c r="Q206" s="134"/>
      <c r="R206" s="134"/>
      <c r="S206" s="134"/>
      <c r="T206" s="135">
        <v>1278563516</v>
      </c>
      <c r="U206" s="135"/>
      <c r="V206" s="136" t="s">
        <v>622</v>
      </c>
      <c r="W206" s="136"/>
      <c r="X206" s="129">
        <v>30000</v>
      </c>
      <c r="Y206" s="129"/>
      <c r="Z206" s="129">
        <v>27273</v>
      </c>
      <c r="AA206" s="129"/>
      <c r="AB206" s="129"/>
      <c r="AC206" s="129"/>
      <c r="AD206" s="129">
        <v>2727</v>
      </c>
      <c r="AE206" s="129"/>
      <c r="AF206" s="129"/>
      <c r="AG206" s="129"/>
      <c r="AH206" s="129"/>
      <c r="AI206" s="129">
        <v>0</v>
      </c>
      <c r="AJ206" s="129"/>
      <c r="AK206" s="129"/>
    </row>
    <row r="207" spans="3:37" ht="14.85" customHeight="1" x14ac:dyDescent="0.15">
      <c r="C207" s="132">
        <v>44323</v>
      </c>
      <c r="D207" s="132"/>
      <c r="E207" s="132">
        <v>44324</v>
      </c>
      <c r="F207" s="132"/>
      <c r="G207" s="132"/>
      <c r="H207" s="132"/>
      <c r="I207" s="133" t="s">
        <v>621</v>
      </c>
      <c r="J207" s="133"/>
      <c r="K207" s="133"/>
      <c r="L207" s="133"/>
      <c r="M207" s="133"/>
      <c r="N207" s="134" t="s">
        <v>687</v>
      </c>
      <c r="O207" s="134"/>
      <c r="P207" s="134" t="s">
        <v>762</v>
      </c>
      <c r="Q207" s="134"/>
      <c r="R207" s="134"/>
      <c r="S207" s="134"/>
      <c r="T207" s="135">
        <v>5318100731</v>
      </c>
      <c r="U207" s="135"/>
      <c r="V207" s="136" t="s">
        <v>618</v>
      </c>
      <c r="W207" s="136"/>
      <c r="X207" s="129">
        <v>600</v>
      </c>
      <c r="Y207" s="129"/>
      <c r="Z207" s="129">
        <v>546</v>
      </c>
      <c r="AA207" s="129"/>
      <c r="AB207" s="129"/>
      <c r="AC207" s="129"/>
      <c r="AD207" s="129">
        <v>54</v>
      </c>
      <c r="AE207" s="129"/>
      <c r="AF207" s="129"/>
      <c r="AG207" s="129"/>
      <c r="AH207" s="129"/>
      <c r="AI207" s="129">
        <v>0</v>
      </c>
      <c r="AJ207" s="129"/>
      <c r="AK207" s="129"/>
    </row>
    <row r="208" spans="3:37" ht="14.85" customHeight="1" x14ac:dyDescent="0.15">
      <c r="C208" s="132">
        <v>44323</v>
      </c>
      <c r="D208" s="132"/>
      <c r="E208" s="132">
        <v>44325</v>
      </c>
      <c r="F208" s="132"/>
      <c r="G208" s="132"/>
      <c r="H208" s="132"/>
      <c r="I208" s="133" t="s">
        <v>621</v>
      </c>
      <c r="J208" s="133"/>
      <c r="K208" s="133"/>
      <c r="L208" s="133"/>
      <c r="M208" s="133"/>
      <c r="N208" s="134" t="s">
        <v>687</v>
      </c>
      <c r="O208" s="134"/>
      <c r="P208" s="134" t="s">
        <v>639</v>
      </c>
      <c r="Q208" s="134"/>
      <c r="R208" s="134"/>
      <c r="S208" s="134"/>
      <c r="T208" s="135">
        <v>1298200103</v>
      </c>
      <c r="U208" s="135"/>
      <c r="V208" s="136" t="s">
        <v>618</v>
      </c>
      <c r="W208" s="136"/>
      <c r="X208" s="129">
        <v>900</v>
      </c>
      <c r="Y208" s="129"/>
      <c r="Z208" s="129">
        <v>900</v>
      </c>
      <c r="AA208" s="129"/>
      <c r="AB208" s="129"/>
      <c r="AC208" s="129"/>
      <c r="AD208" s="129">
        <v>0</v>
      </c>
      <c r="AE208" s="129"/>
      <c r="AF208" s="129"/>
      <c r="AG208" s="129"/>
      <c r="AH208" s="129"/>
      <c r="AI208" s="129">
        <v>0</v>
      </c>
      <c r="AJ208" s="129"/>
      <c r="AK208" s="129"/>
    </row>
    <row r="209" spans="3:37" ht="14.85" customHeight="1" x14ac:dyDescent="0.15">
      <c r="C209" s="132">
        <v>44323</v>
      </c>
      <c r="D209" s="132"/>
      <c r="E209" s="132">
        <v>44325</v>
      </c>
      <c r="F209" s="132"/>
      <c r="G209" s="132"/>
      <c r="H209" s="132"/>
      <c r="I209" s="133" t="s">
        <v>621</v>
      </c>
      <c r="J209" s="133"/>
      <c r="K209" s="133"/>
      <c r="L209" s="133"/>
      <c r="M209" s="133"/>
      <c r="N209" s="134" t="s">
        <v>687</v>
      </c>
      <c r="O209" s="134"/>
      <c r="P209" s="134" t="s">
        <v>639</v>
      </c>
      <c r="Q209" s="134"/>
      <c r="R209" s="134"/>
      <c r="S209" s="134"/>
      <c r="T209" s="135">
        <v>1298200103</v>
      </c>
      <c r="U209" s="135"/>
      <c r="V209" s="136" t="s">
        <v>618</v>
      </c>
      <c r="W209" s="136"/>
      <c r="X209" s="129">
        <v>900</v>
      </c>
      <c r="Y209" s="129"/>
      <c r="Z209" s="129">
        <v>900</v>
      </c>
      <c r="AA209" s="129"/>
      <c r="AB209" s="129"/>
      <c r="AC209" s="129"/>
      <c r="AD209" s="129">
        <v>0</v>
      </c>
      <c r="AE209" s="129"/>
      <c r="AF209" s="129"/>
      <c r="AG209" s="129"/>
      <c r="AH209" s="129"/>
      <c r="AI209" s="129">
        <v>0</v>
      </c>
      <c r="AJ209" s="129"/>
      <c r="AK209" s="129"/>
    </row>
    <row r="210" spans="3:37" ht="14.85" customHeight="1" x14ac:dyDescent="0.15">
      <c r="C210" s="132">
        <v>44324</v>
      </c>
      <c r="D210" s="132"/>
      <c r="E210" s="132">
        <v>44325</v>
      </c>
      <c r="F210" s="132"/>
      <c r="G210" s="132"/>
      <c r="H210" s="132"/>
      <c r="I210" s="133" t="s">
        <v>621</v>
      </c>
      <c r="J210" s="133"/>
      <c r="K210" s="133"/>
      <c r="L210" s="133"/>
      <c r="M210" s="133"/>
      <c r="N210" s="134" t="s">
        <v>687</v>
      </c>
      <c r="O210" s="134"/>
      <c r="P210" s="134" t="s">
        <v>694</v>
      </c>
      <c r="Q210" s="134"/>
      <c r="R210" s="134"/>
      <c r="S210" s="134"/>
      <c r="T210" s="135">
        <v>1310434836</v>
      </c>
      <c r="U210" s="135"/>
      <c r="V210" s="136" t="s">
        <v>618</v>
      </c>
      <c r="W210" s="136"/>
      <c r="X210" s="129">
        <v>4500</v>
      </c>
      <c r="Y210" s="129"/>
      <c r="Z210" s="129">
        <v>4091</v>
      </c>
      <c r="AA210" s="129"/>
      <c r="AB210" s="129"/>
      <c r="AC210" s="129"/>
      <c r="AD210" s="129">
        <v>409</v>
      </c>
      <c r="AE210" s="129"/>
      <c r="AF210" s="129"/>
      <c r="AG210" s="129"/>
      <c r="AH210" s="129"/>
      <c r="AI210" s="129">
        <v>0</v>
      </c>
      <c r="AJ210" s="129"/>
      <c r="AK210" s="129"/>
    </row>
    <row r="211" spans="3:37" ht="14.85" customHeight="1" x14ac:dyDescent="0.15">
      <c r="C211" s="132">
        <v>44323</v>
      </c>
      <c r="D211" s="132"/>
      <c r="E211" s="132">
        <v>44327</v>
      </c>
      <c r="F211" s="132"/>
      <c r="G211" s="132"/>
      <c r="H211" s="132"/>
      <c r="I211" s="133" t="s">
        <v>621</v>
      </c>
      <c r="J211" s="133"/>
      <c r="K211" s="133"/>
      <c r="L211" s="133"/>
      <c r="M211" s="133"/>
      <c r="N211" s="134" t="s">
        <v>687</v>
      </c>
      <c r="O211" s="134"/>
      <c r="P211" s="134" t="s">
        <v>680</v>
      </c>
      <c r="Q211" s="134"/>
      <c r="R211" s="134"/>
      <c r="S211" s="134"/>
      <c r="T211" s="135">
        <v>1048183559</v>
      </c>
      <c r="U211" s="135"/>
      <c r="V211" s="136" t="s">
        <v>618</v>
      </c>
      <c r="W211" s="136"/>
      <c r="X211" s="129">
        <v>1700</v>
      </c>
      <c r="Y211" s="129"/>
      <c r="Z211" s="129">
        <v>1700</v>
      </c>
      <c r="AA211" s="129"/>
      <c r="AB211" s="129"/>
      <c r="AC211" s="129"/>
      <c r="AD211" s="129">
        <v>0</v>
      </c>
      <c r="AE211" s="129"/>
      <c r="AF211" s="129"/>
      <c r="AG211" s="129"/>
      <c r="AH211" s="129"/>
      <c r="AI211" s="129">
        <v>0</v>
      </c>
      <c r="AJ211" s="129"/>
      <c r="AK211" s="129"/>
    </row>
    <row r="212" spans="3:37" ht="14.85" customHeight="1" x14ac:dyDescent="0.15">
      <c r="C212" s="132">
        <v>44323</v>
      </c>
      <c r="D212" s="132"/>
      <c r="E212" s="132">
        <v>44327</v>
      </c>
      <c r="F212" s="132"/>
      <c r="G212" s="132"/>
      <c r="H212" s="132"/>
      <c r="I212" s="133" t="s">
        <v>621</v>
      </c>
      <c r="J212" s="133"/>
      <c r="K212" s="133"/>
      <c r="L212" s="133"/>
      <c r="M212" s="133"/>
      <c r="N212" s="134" t="s">
        <v>687</v>
      </c>
      <c r="O212" s="134"/>
      <c r="P212" s="134" t="s">
        <v>680</v>
      </c>
      <c r="Q212" s="134"/>
      <c r="R212" s="134"/>
      <c r="S212" s="134"/>
      <c r="T212" s="135">
        <v>1048183559</v>
      </c>
      <c r="U212" s="135"/>
      <c r="V212" s="136" t="s">
        <v>618</v>
      </c>
      <c r="W212" s="136"/>
      <c r="X212" s="129">
        <v>1700</v>
      </c>
      <c r="Y212" s="129"/>
      <c r="Z212" s="129">
        <v>1700</v>
      </c>
      <c r="AA212" s="129"/>
      <c r="AB212" s="129"/>
      <c r="AC212" s="129"/>
      <c r="AD212" s="129">
        <v>0</v>
      </c>
      <c r="AE212" s="129"/>
      <c r="AF212" s="129"/>
      <c r="AG212" s="129"/>
      <c r="AH212" s="129"/>
      <c r="AI212" s="129">
        <v>0</v>
      </c>
      <c r="AJ212" s="129"/>
      <c r="AK212" s="129"/>
    </row>
    <row r="213" spans="3:37" ht="14.85" customHeight="1" x14ac:dyDescent="0.15">
      <c r="C213" s="132">
        <v>44329</v>
      </c>
      <c r="D213" s="132"/>
      <c r="E213" s="132">
        <v>44327</v>
      </c>
      <c r="F213" s="132"/>
      <c r="G213" s="132"/>
      <c r="H213" s="132"/>
      <c r="I213" s="133" t="s">
        <v>621</v>
      </c>
      <c r="J213" s="133"/>
      <c r="K213" s="133"/>
      <c r="L213" s="133"/>
      <c r="M213" s="133"/>
      <c r="N213" s="134" t="s">
        <v>687</v>
      </c>
      <c r="O213" s="134"/>
      <c r="P213" s="134" t="s">
        <v>666</v>
      </c>
      <c r="Q213" s="134"/>
      <c r="R213" s="134"/>
      <c r="S213" s="134"/>
      <c r="T213" s="135">
        <v>2208139938</v>
      </c>
      <c r="U213" s="135"/>
      <c r="V213" s="136" t="s">
        <v>618</v>
      </c>
      <c r="W213" s="136"/>
      <c r="X213" s="129">
        <v>58900</v>
      </c>
      <c r="Y213" s="129"/>
      <c r="Z213" s="129">
        <v>58900</v>
      </c>
      <c r="AA213" s="129"/>
      <c r="AB213" s="129"/>
      <c r="AC213" s="129"/>
      <c r="AD213" s="129">
        <v>0</v>
      </c>
      <c r="AE213" s="129"/>
      <c r="AF213" s="129"/>
      <c r="AG213" s="129"/>
      <c r="AH213" s="129"/>
      <c r="AI213" s="129">
        <v>0</v>
      </c>
      <c r="AJ213" s="129"/>
      <c r="AK213" s="129"/>
    </row>
    <row r="214" spans="3:37" ht="14.85" customHeight="1" x14ac:dyDescent="0.15">
      <c r="C214" s="132">
        <v>44329</v>
      </c>
      <c r="D214" s="132"/>
      <c r="E214" s="132">
        <v>44327</v>
      </c>
      <c r="F214" s="132"/>
      <c r="G214" s="132"/>
      <c r="H214" s="132"/>
      <c r="I214" s="133" t="s">
        <v>621</v>
      </c>
      <c r="J214" s="133"/>
      <c r="K214" s="133"/>
      <c r="L214" s="133"/>
      <c r="M214" s="133"/>
      <c r="N214" s="134" t="s">
        <v>687</v>
      </c>
      <c r="O214" s="134"/>
      <c r="P214" s="134" t="s">
        <v>636</v>
      </c>
      <c r="Q214" s="134"/>
      <c r="R214" s="134"/>
      <c r="S214" s="134"/>
      <c r="T214" s="135">
        <v>2208139938</v>
      </c>
      <c r="U214" s="135"/>
      <c r="V214" s="136" t="s">
        <v>618</v>
      </c>
      <c r="W214" s="136"/>
      <c r="X214" s="129">
        <v>8760</v>
      </c>
      <c r="Y214" s="129"/>
      <c r="Z214" s="129">
        <v>8760</v>
      </c>
      <c r="AA214" s="129"/>
      <c r="AB214" s="129"/>
      <c r="AC214" s="129"/>
      <c r="AD214" s="129">
        <v>0</v>
      </c>
      <c r="AE214" s="129"/>
      <c r="AF214" s="129"/>
      <c r="AG214" s="129"/>
      <c r="AH214" s="129"/>
      <c r="AI214" s="129">
        <v>0</v>
      </c>
      <c r="AJ214" s="129"/>
      <c r="AK214" s="129"/>
    </row>
    <row r="215" spans="3:37" ht="14.85" customHeight="1" x14ac:dyDescent="0.15">
      <c r="C215" s="132">
        <v>44326</v>
      </c>
      <c r="D215" s="132"/>
      <c r="E215" s="132">
        <v>44327</v>
      </c>
      <c r="F215" s="132"/>
      <c r="G215" s="132"/>
      <c r="H215" s="132"/>
      <c r="I215" s="133" t="s">
        <v>621</v>
      </c>
      <c r="J215" s="133"/>
      <c r="K215" s="133"/>
      <c r="L215" s="133"/>
      <c r="M215" s="133"/>
      <c r="N215" s="134" t="s">
        <v>687</v>
      </c>
      <c r="O215" s="134"/>
      <c r="P215" s="134" t="s">
        <v>694</v>
      </c>
      <c r="Q215" s="134"/>
      <c r="R215" s="134"/>
      <c r="S215" s="134"/>
      <c r="T215" s="135">
        <v>1310434836</v>
      </c>
      <c r="U215" s="135"/>
      <c r="V215" s="136" t="s">
        <v>618</v>
      </c>
      <c r="W215" s="136"/>
      <c r="X215" s="129">
        <v>4500</v>
      </c>
      <c r="Y215" s="129"/>
      <c r="Z215" s="129">
        <v>4091</v>
      </c>
      <c r="AA215" s="129"/>
      <c r="AB215" s="129"/>
      <c r="AC215" s="129"/>
      <c r="AD215" s="129">
        <v>409</v>
      </c>
      <c r="AE215" s="129"/>
      <c r="AF215" s="129"/>
      <c r="AG215" s="129"/>
      <c r="AH215" s="129"/>
      <c r="AI215" s="129">
        <v>0</v>
      </c>
      <c r="AJ215" s="129"/>
      <c r="AK215" s="129"/>
    </row>
    <row r="216" spans="3:37" ht="29.65" customHeight="1" x14ac:dyDescent="0.15">
      <c r="V216" s="137" t="s">
        <v>617</v>
      </c>
      <c r="W216" s="137"/>
    </row>
    <row r="217" spans="3:37" ht="14.85" customHeight="1" x14ac:dyDescent="0.15">
      <c r="C217" s="132">
        <v>44327</v>
      </c>
      <c r="D217" s="132"/>
      <c r="E217" s="132">
        <v>44328</v>
      </c>
      <c r="F217" s="132"/>
      <c r="G217" s="132"/>
      <c r="H217" s="132"/>
      <c r="I217" s="133" t="s">
        <v>621</v>
      </c>
      <c r="J217" s="133"/>
      <c r="K217" s="133"/>
      <c r="L217" s="133"/>
      <c r="M217" s="133"/>
      <c r="N217" s="134" t="s">
        <v>687</v>
      </c>
      <c r="O217" s="134"/>
      <c r="P217" s="134" t="s">
        <v>694</v>
      </c>
      <c r="Q217" s="134"/>
      <c r="R217" s="134"/>
      <c r="S217" s="134"/>
      <c r="T217" s="135">
        <v>1310434836</v>
      </c>
      <c r="U217" s="135"/>
      <c r="V217" s="136" t="s">
        <v>618</v>
      </c>
      <c r="W217" s="136"/>
      <c r="X217" s="129">
        <v>4500</v>
      </c>
      <c r="Y217" s="129"/>
      <c r="Z217" s="129">
        <v>4091</v>
      </c>
      <c r="AA217" s="129"/>
      <c r="AB217" s="129"/>
      <c r="AC217" s="129"/>
      <c r="AD217" s="129">
        <v>409</v>
      </c>
      <c r="AE217" s="129"/>
      <c r="AF217" s="129"/>
      <c r="AG217" s="129"/>
      <c r="AH217" s="129"/>
      <c r="AI217" s="129">
        <v>0</v>
      </c>
      <c r="AJ217" s="129"/>
      <c r="AK217" s="129"/>
    </row>
    <row r="218" spans="3:37" ht="14.85" customHeight="1" x14ac:dyDescent="0.15">
      <c r="C218" s="132">
        <v>44328</v>
      </c>
      <c r="D218" s="132"/>
      <c r="E218" s="132">
        <v>44329</v>
      </c>
      <c r="F218" s="132"/>
      <c r="G218" s="132"/>
      <c r="H218" s="132"/>
      <c r="I218" s="133" t="s">
        <v>621</v>
      </c>
      <c r="J218" s="133"/>
      <c r="K218" s="133"/>
      <c r="L218" s="133"/>
      <c r="M218" s="133"/>
      <c r="N218" s="134" t="s">
        <v>687</v>
      </c>
      <c r="O218" s="134"/>
      <c r="P218" s="134" t="s">
        <v>625</v>
      </c>
      <c r="Q218" s="134"/>
      <c r="R218" s="134"/>
      <c r="S218" s="134"/>
      <c r="T218" s="135">
        <v>6073354644</v>
      </c>
      <c r="U218" s="135"/>
      <c r="V218" s="136" t="s">
        <v>618</v>
      </c>
      <c r="W218" s="136"/>
      <c r="X218" s="129">
        <v>31600</v>
      </c>
      <c r="Y218" s="129"/>
      <c r="Z218" s="129">
        <v>31600</v>
      </c>
      <c r="AA218" s="129"/>
      <c r="AB218" s="129"/>
      <c r="AC218" s="129"/>
      <c r="AD218" s="129">
        <v>0</v>
      </c>
      <c r="AE218" s="129"/>
      <c r="AF218" s="129"/>
      <c r="AG218" s="129"/>
      <c r="AH218" s="129"/>
      <c r="AI218" s="129">
        <v>0</v>
      </c>
      <c r="AJ218" s="129"/>
      <c r="AK218" s="129"/>
    </row>
    <row r="219" spans="3:37" ht="14.85" customHeight="1" x14ac:dyDescent="0.15">
      <c r="C219" s="132">
        <v>44328</v>
      </c>
      <c r="D219" s="132"/>
      <c r="E219" s="132">
        <v>44329</v>
      </c>
      <c r="F219" s="132"/>
      <c r="G219" s="132"/>
      <c r="H219" s="132"/>
      <c r="I219" s="133" t="s">
        <v>621</v>
      </c>
      <c r="J219" s="133"/>
      <c r="K219" s="133"/>
      <c r="L219" s="133"/>
      <c r="M219" s="133"/>
      <c r="N219" s="134" t="s">
        <v>687</v>
      </c>
      <c r="O219" s="134"/>
      <c r="P219" s="134" t="s">
        <v>627</v>
      </c>
      <c r="Q219" s="134"/>
      <c r="R219" s="134"/>
      <c r="S219" s="134"/>
      <c r="T219" s="135">
        <v>2329300384</v>
      </c>
      <c r="U219" s="135"/>
      <c r="V219" s="136" t="s">
        <v>626</v>
      </c>
      <c r="W219" s="136"/>
      <c r="X219" s="129">
        <v>4400</v>
      </c>
      <c r="Y219" s="129"/>
      <c r="Z219" s="129">
        <v>4400</v>
      </c>
      <c r="AA219" s="129"/>
      <c r="AB219" s="129"/>
      <c r="AC219" s="129"/>
      <c r="AD219" s="129">
        <v>0</v>
      </c>
      <c r="AE219" s="129"/>
      <c r="AF219" s="129"/>
      <c r="AG219" s="129"/>
      <c r="AH219" s="129"/>
      <c r="AI219" s="129">
        <v>0</v>
      </c>
      <c r="AJ219" s="129"/>
      <c r="AK219" s="129"/>
    </row>
    <row r="220" spans="3:37" ht="14.85" customHeight="1" x14ac:dyDescent="0.15">
      <c r="C220" s="132">
        <v>44328</v>
      </c>
      <c r="D220" s="132"/>
      <c r="E220" s="132">
        <v>44329</v>
      </c>
      <c r="F220" s="132"/>
      <c r="G220" s="132"/>
      <c r="H220" s="132"/>
      <c r="I220" s="133" t="s">
        <v>621</v>
      </c>
      <c r="J220" s="133"/>
      <c r="K220" s="133"/>
      <c r="L220" s="133"/>
      <c r="M220" s="133"/>
      <c r="N220" s="134" t="s">
        <v>687</v>
      </c>
      <c r="O220" s="134"/>
      <c r="P220" s="134" t="s">
        <v>694</v>
      </c>
      <c r="Q220" s="134"/>
      <c r="R220" s="134"/>
      <c r="S220" s="134"/>
      <c r="T220" s="135">
        <v>1310434836</v>
      </c>
      <c r="U220" s="135"/>
      <c r="V220" s="136" t="s">
        <v>618</v>
      </c>
      <c r="W220" s="136"/>
      <c r="X220" s="129">
        <v>4500</v>
      </c>
      <c r="Y220" s="129"/>
      <c r="Z220" s="129">
        <v>4091</v>
      </c>
      <c r="AA220" s="129"/>
      <c r="AB220" s="129"/>
      <c r="AC220" s="129"/>
      <c r="AD220" s="129">
        <v>409</v>
      </c>
      <c r="AE220" s="129"/>
      <c r="AF220" s="129"/>
      <c r="AG220" s="129"/>
      <c r="AH220" s="129"/>
      <c r="AI220" s="129">
        <v>0</v>
      </c>
      <c r="AJ220" s="129"/>
      <c r="AK220" s="129"/>
    </row>
    <row r="221" spans="3:37" ht="14.85" customHeight="1" x14ac:dyDescent="0.15">
      <c r="C221" s="132">
        <v>44329</v>
      </c>
      <c r="D221" s="132"/>
      <c r="E221" s="132">
        <v>44331</v>
      </c>
      <c r="F221" s="132"/>
      <c r="G221" s="132"/>
      <c r="H221" s="132"/>
      <c r="I221" s="133" t="s">
        <v>621</v>
      </c>
      <c r="J221" s="133"/>
      <c r="K221" s="133"/>
      <c r="L221" s="133"/>
      <c r="M221" s="133"/>
      <c r="N221" s="134" t="s">
        <v>687</v>
      </c>
      <c r="O221" s="134"/>
      <c r="P221" s="134" t="s">
        <v>692</v>
      </c>
      <c r="Q221" s="134"/>
      <c r="R221" s="134"/>
      <c r="S221" s="134"/>
      <c r="T221" s="135">
        <v>5304900441</v>
      </c>
      <c r="U221" s="135"/>
      <c r="V221" s="136" t="s">
        <v>618</v>
      </c>
      <c r="W221" s="136"/>
      <c r="X221" s="129">
        <v>4500</v>
      </c>
      <c r="Y221" s="129"/>
      <c r="Z221" s="129">
        <v>4091</v>
      </c>
      <c r="AA221" s="129"/>
      <c r="AB221" s="129"/>
      <c r="AC221" s="129"/>
      <c r="AD221" s="129">
        <v>409</v>
      </c>
      <c r="AE221" s="129"/>
      <c r="AF221" s="129"/>
      <c r="AG221" s="129"/>
      <c r="AH221" s="129"/>
      <c r="AI221" s="129">
        <v>0</v>
      </c>
      <c r="AJ221" s="129"/>
      <c r="AK221" s="129"/>
    </row>
    <row r="222" spans="3:37" ht="14.85" customHeight="1" x14ac:dyDescent="0.15">
      <c r="C222" s="132">
        <v>44330</v>
      </c>
      <c r="D222" s="132"/>
      <c r="E222" s="132">
        <v>44331</v>
      </c>
      <c r="F222" s="132"/>
      <c r="G222" s="132"/>
      <c r="H222" s="132"/>
      <c r="I222" s="133" t="s">
        <v>621</v>
      </c>
      <c r="J222" s="133"/>
      <c r="K222" s="133"/>
      <c r="L222" s="133"/>
      <c r="M222" s="133"/>
      <c r="N222" s="134" t="s">
        <v>687</v>
      </c>
      <c r="O222" s="134"/>
      <c r="P222" s="134" t="s">
        <v>694</v>
      </c>
      <c r="Q222" s="134"/>
      <c r="R222" s="134"/>
      <c r="S222" s="134"/>
      <c r="T222" s="135">
        <v>1310434836</v>
      </c>
      <c r="U222" s="135"/>
      <c r="V222" s="136" t="s">
        <v>618</v>
      </c>
      <c r="W222" s="136"/>
      <c r="X222" s="129">
        <v>4500</v>
      </c>
      <c r="Y222" s="129"/>
      <c r="Z222" s="129">
        <v>4091</v>
      </c>
      <c r="AA222" s="129"/>
      <c r="AB222" s="129"/>
      <c r="AC222" s="129"/>
      <c r="AD222" s="129">
        <v>409</v>
      </c>
      <c r="AE222" s="129"/>
      <c r="AF222" s="129"/>
      <c r="AG222" s="129"/>
      <c r="AH222" s="129"/>
      <c r="AI222" s="129">
        <v>0</v>
      </c>
      <c r="AJ222" s="129"/>
      <c r="AK222" s="129"/>
    </row>
    <row r="223" spans="3:37" ht="14.85" customHeight="1" x14ac:dyDescent="0.15">
      <c r="C223" s="132">
        <v>44331</v>
      </c>
      <c r="D223" s="132"/>
      <c r="E223" s="132">
        <v>44332</v>
      </c>
      <c r="F223" s="132"/>
      <c r="G223" s="132"/>
      <c r="H223" s="132"/>
      <c r="I223" s="133" t="s">
        <v>621</v>
      </c>
      <c r="J223" s="133"/>
      <c r="K223" s="133"/>
      <c r="L223" s="133"/>
      <c r="M223" s="133"/>
      <c r="N223" s="134" t="s">
        <v>687</v>
      </c>
      <c r="O223" s="134"/>
      <c r="P223" s="134" t="s">
        <v>697</v>
      </c>
      <c r="Q223" s="134"/>
      <c r="R223" s="134"/>
      <c r="S223" s="134"/>
      <c r="T223" s="135">
        <v>5990701264</v>
      </c>
      <c r="U223" s="135"/>
      <c r="V223" s="136" t="s">
        <v>622</v>
      </c>
      <c r="W223" s="136"/>
      <c r="X223" s="129">
        <v>6500</v>
      </c>
      <c r="Y223" s="129"/>
      <c r="Z223" s="129">
        <v>5909</v>
      </c>
      <c r="AA223" s="129"/>
      <c r="AB223" s="129"/>
      <c r="AC223" s="129"/>
      <c r="AD223" s="129">
        <v>591</v>
      </c>
      <c r="AE223" s="129"/>
      <c r="AF223" s="129"/>
      <c r="AG223" s="129"/>
      <c r="AH223" s="129"/>
      <c r="AI223" s="129">
        <v>0</v>
      </c>
      <c r="AJ223" s="129"/>
      <c r="AK223" s="129"/>
    </row>
    <row r="224" spans="3:37" ht="14.85" customHeight="1" x14ac:dyDescent="0.15">
      <c r="C224" s="132">
        <v>44331</v>
      </c>
      <c r="D224" s="132"/>
      <c r="E224" s="132">
        <v>44332</v>
      </c>
      <c r="F224" s="132"/>
      <c r="G224" s="132"/>
      <c r="H224" s="132"/>
      <c r="I224" s="133" t="s">
        <v>665</v>
      </c>
      <c r="J224" s="133"/>
      <c r="K224" s="133"/>
      <c r="L224" s="133"/>
      <c r="M224" s="133"/>
      <c r="N224" s="134" t="s">
        <v>664</v>
      </c>
      <c r="O224" s="134"/>
      <c r="P224" s="134" t="s">
        <v>761</v>
      </c>
      <c r="Q224" s="134"/>
      <c r="R224" s="134"/>
      <c r="S224" s="134"/>
      <c r="T224" s="135">
        <v>2073850496</v>
      </c>
      <c r="U224" s="135"/>
      <c r="V224" s="136" t="s">
        <v>622</v>
      </c>
      <c r="W224" s="136"/>
      <c r="X224" s="129">
        <v>3500</v>
      </c>
      <c r="Y224" s="129"/>
      <c r="Z224" s="129">
        <v>3182</v>
      </c>
      <c r="AA224" s="129"/>
      <c r="AB224" s="129"/>
      <c r="AC224" s="129"/>
      <c r="AD224" s="129">
        <v>318</v>
      </c>
      <c r="AE224" s="129"/>
      <c r="AF224" s="129"/>
      <c r="AG224" s="129"/>
      <c r="AH224" s="129"/>
      <c r="AI224" s="129">
        <v>0</v>
      </c>
      <c r="AJ224" s="129"/>
      <c r="AK224" s="129"/>
    </row>
    <row r="225" spans="3:37" ht="14.85" customHeight="1" x14ac:dyDescent="0.15">
      <c r="C225" s="132">
        <v>44331</v>
      </c>
      <c r="D225" s="132"/>
      <c r="E225" s="132">
        <v>44332</v>
      </c>
      <c r="F225" s="132"/>
      <c r="G225" s="132"/>
      <c r="H225" s="132"/>
      <c r="I225" s="133" t="s">
        <v>621</v>
      </c>
      <c r="J225" s="133"/>
      <c r="K225" s="133"/>
      <c r="L225" s="133"/>
      <c r="M225" s="133"/>
      <c r="N225" s="134" t="s">
        <v>687</v>
      </c>
      <c r="O225" s="134"/>
      <c r="P225" s="134" t="s">
        <v>761</v>
      </c>
      <c r="Q225" s="134"/>
      <c r="R225" s="134"/>
      <c r="S225" s="134"/>
      <c r="T225" s="135">
        <v>2073850496</v>
      </c>
      <c r="U225" s="135"/>
      <c r="V225" s="136" t="s">
        <v>622</v>
      </c>
      <c r="W225" s="136"/>
      <c r="X225" s="129">
        <v>1500</v>
      </c>
      <c r="Y225" s="129"/>
      <c r="Z225" s="129">
        <v>1364</v>
      </c>
      <c r="AA225" s="129"/>
      <c r="AB225" s="129"/>
      <c r="AC225" s="129"/>
      <c r="AD225" s="129">
        <v>136</v>
      </c>
      <c r="AE225" s="129"/>
      <c r="AF225" s="129"/>
      <c r="AG225" s="129"/>
      <c r="AH225" s="129"/>
      <c r="AI225" s="129">
        <v>0</v>
      </c>
      <c r="AJ225" s="129"/>
      <c r="AK225" s="129"/>
    </row>
    <row r="226" spans="3:37" ht="14.85" customHeight="1" x14ac:dyDescent="0.15">
      <c r="C226" s="132">
        <v>44331</v>
      </c>
      <c r="D226" s="132"/>
      <c r="E226" s="132">
        <v>44332</v>
      </c>
      <c r="F226" s="132"/>
      <c r="G226" s="132"/>
      <c r="H226" s="132"/>
      <c r="I226" s="133" t="s">
        <v>621</v>
      </c>
      <c r="J226" s="133"/>
      <c r="K226" s="133"/>
      <c r="L226" s="133"/>
      <c r="M226" s="133"/>
      <c r="N226" s="134" t="s">
        <v>687</v>
      </c>
      <c r="O226" s="134"/>
      <c r="P226" s="134" t="s">
        <v>658</v>
      </c>
      <c r="Q226" s="134"/>
      <c r="R226" s="134"/>
      <c r="S226" s="134"/>
      <c r="T226" s="135">
        <v>1119100176</v>
      </c>
      <c r="U226" s="135"/>
      <c r="V226" s="136" t="s">
        <v>626</v>
      </c>
      <c r="W226" s="136"/>
      <c r="X226" s="129">
        <v>12700</v>
      </c>
      <c r="Y226" s="129"/>
      <c r="Z226" s="129">
        <v>12700</v>
      </c>
      <c r="AA226" s="129"/>
      <c r="AB226" s="129"/>
      <c r="AC226" s="129"/>
      <c r="AD226" s="129">
        <v>0</v>
      </c>
      <c r="AE226" s="129"/>
      <c r="AF226" s="129"/>
      <c r="AG226" s="129"/>
      <c r="AH226" s="129"/>
      <c r="AI226" s="129">
        <v>0</v>
      </c>
      <c r="AJ226" s="129"/>
      <c r="AK226" s="129"/>
    </row>
    <row r="227" spans="3:37" ht="14.85" customHeight="1" x14ac:dyDescent="0.15">
      <c r="C227" s="132">
        <v>44331</v>
      </c>
      <c r="D227" s="132"/>
      <c r="E227" s="132">
        <v>44332</v>
      </c>
      <c r="F227" s="132"/>
      <c r="G227" s="132"/>
      <c r="H227" s="132"/>
      <c r="I227" s="133" t="s">
        <v>621</v>
      </c>
      <c r="J227" s="133"/>
      <c r="K227" s="133"/>
      <c r="L227" s="133"/>
      <c r="M227" s="133"/>
      <c r="N227" s="134" t="s">
        <v>687</v>
      </c>
      <c r="O227" s="134"/>
      <c r="P227" s="134" t="s">
        <v>760</v>
      </c>
      <c r="Q227" s="134"/>
      <c r="R227" s="134"/>
      <c r="S227" s="134"/>
      <c r="T227" s="135">
        <v>1398110921</v>
      </c>
      <c r="U227" s="135"/>
      <c r="V227" s="136" t="s">
        <v>618</v>
      </c>
      <c r="W227" s="136"/>
      <c r="X227" s="129">
        <v>30000</v>
      </c>
      <c r="Y227" s="129"/>
      <c r="Z227" s="129">
        <v>27272</v>
      </c>
      <c r="AA227" s="129"/>
      <c r="AB227" s="129"/>
      <c r="AC227" s="129"/>
      <c r="AD227" s="129">
        <v>2728</v>
      </c>
      <c r="AE227" s="129"/>
      <c r="AF227" s="129"/>
      <c r="AG227" s="129"/>
      <c r="AH227" s="129"/>
      <c r="AI227" s="129">
        <v>0</v>
      </c>
      <c r="AJ227" s="129"/>
      <c r="AK227" s="129"/>
    </row>
    <row r="228" spans="3:37" ht="14.85" customHeight="1" x14ac:dyDescent="0.15">
      <c r="C228" s="132">
        <v>44332</v>
      </c>
      <c r="D228" s="132"/>
      <c r="E228" s="132">
        <v>44333</v>
      </c>
      <c r="F228" s="132"/>
      <c r="G228" s="132"/>
      <c r="H228" s="132"/>
      <c r="I228" s="133" t="s">
        <v>621</v>
      </c>
      <c r="J228" s="133"/>
      <c r="K228" s="133"/>
      <c r="L228" s="133"/>
      <c r="M228" s="133"/>
      <c r="N228" s="134" t="s">
        <v>687</v>
      </c>
      <c r="O228" s="134"/>
      <c r="P228" s="134" t="s">
        <v>699</v>
      </c>
      <c r="Q228" s="134"/>
      <c r="R228" s="134"/>
      <c r="S228" s="134"/>
      <c r="T228" s="135">
        <v>3021040377</v>
      </c>
      <c r="U228" s="135"/>
      <c r="V228" s="136" t="s">
        <v>622</v>
      </c>
      <c r="W228" s="136"/>
      <c r="X228" s="129">
        <v>4500</v>
      </c>
      <c r="Y228" s="129"/>
      <c r="Z228" s="129">
        <v>4091</v>
      </c>
      <c r="AA228" s="129"/>
      <c r="AB228" s="129"/>
      <c r="AC228" s="129"/>
      <c r="AD228" s="129">
        <v>409</v>
      </c>
      <c r="AE228" s="129"/>
      <c r="AF228" s="129"/>
      <c r="AG228" s="129"/>
      <c r="AH228" s="129"/>
      <c r="AI228" s="129">
        <v>0</v>
      </c>
      <c r="AJ228" s="129"/>
      <c r="AK228" s="129"/>
    </row>
    <row r="229" spans="3:37" ht="14.85" customHeight="1" x14ac:dyDescent="0.15">
      <c r="C229" s="132">
        <v>44334</v>
      </c>
      <c r="D229" s="132"/>
      <c r="E229" s="132">
        <v>44335</v>
      </c>
      <c r="F229" s="132"/>
      <c r="G229" s="132"/>
      <c r="H229" s="132"/>
      <c r="I229" s="133" t="s">
        <v>621</v>
      </c>
      <c r="J229" s="133"/>
      <c r="K229" s="133"/>
      <c r="L229" s="133"/>
      <c r="M229" s="133"/>
      <c r="N229" s="134" t="s">
        <v>687</v>
      </c>
      <c r="O229" s="134"/>
      <c r="P229" s="134" t="s">
        <v>694</v>
      </c>
      <c r="Q229" s="134"/>
      <c r="R229" s="134"/>
      <c r="S229" s="134"/>
      <c r="T229" s="135">
        <v>1310434836</v>
      </c>
      <c r="U229" s="135"/>
      <c r="V229" s="136" t="s">
        <v>618</v>
      </c>
      <c r="W229" s="136"/>
      <c r="X229" s="129">
        <v>4500</v>
      </c>
      <c r="Y229" s="129"/>
      <c r="Z229" s="129">
        <v>4091</v>
      </c>
      <c r="AA229" s="129"/>
      <c r="AB229" s="129"/>
      <c r="AC229" s="129"/>
      <c r="AD229" s="129">
        <v>409</v>
      </c>
      <c r="AE229" s="129"/>
      <c r="AF229" s="129"/>
      <c r="AG229" s="129"/>
      <c r="AH229" s="129"/>
      <c r="AI229" s="129">
        <v>0</v>
      </c>
      <c r="AJ229" s="129"/>
      <c r="AK229" s="129"/>
    </row>
    <row r="230" spans="3:37" ht="14.85" customHeight="1" x14ac:dyDescent="0.15">
      <c r="C230" s="132">
        <v>44334</v>
      </c>
      <c r="D230" s="132"/>
      <c r="E230" s="132">
        <v>44335</v>
      </c>
      <c r="F230" s="132"/>
      <c r="G230" s="132"/>
      <c r="H230" s="132"/>
      <c r="I230" s="133" t="s">
        <v>621</v>
      </c>
      <c r="J230" s="133"/>
      <c r="K230" s="133"/>
      <c r="L230" s="133"/>
      <c r="M230" s="133"/>
      <c r="N230" s="134" t="s">
        <v>687</v>
      </c>
      <c r="O230" s="134"/>
      <c r="P230" s="134" t="s">
        <v>634</v>
      </c>
      <c r="Q230" s="134"/>
      <c r="R230" s="134"/>
      <c r="S230" s="134"/>
      <c r="T230" s="135">
        <v>1298638970</v>
      </c>
      <c r="U230" s="135"/>
      <c r="V230" s="136" t="s">
        <v>618</v>
      </c>
      <c r="W230" s="136"/>
      <c r="X230" s="129">
        <v>5400</v>
      </c>
      <c r="Y230" s="129"/>
      <c r="Z230" s="129">
        <v>5400</v>
      </c>
      <c r="AA230" s="129"/>
      <c r="AB230" s="129"/>
      <c r="AC230" s="129"/>
      <c r="AD230" s="129">
        <v>0</v>
      </c>
      <c r="AE230" s="129"/>
      <c r="AF230" s="129"/>
      <c r="AG230" s="129"/>
      <c r="AH230" s="129"/>
      <c r="AI230" s="129">
        <v>0</v>
      </c>
      <c r="AJ230" s="129"/>
      <c r="AK230" s="129"/>
    </row>
    <row r="231" spans="3:37" ht="14.85" customHeight="1" x14ac:dyDescent="0.15">
      <c r="C231" s="132">
        <v>44335</v>
      </c>
      <c r="D231" s="132"/>
      <c r="E231" s="132">
        <v>44336</v>
      </c>
      <c r="F231" s="132"/>
      <c r="G231" s="132"/>
      <c r="H231" s="132"/>
      <c r="I231" s="133" t="s">
        <v>621</v>
      </c>
      <c r="J231" s="133"/>
      <c r="K231" s="133"/>
      <c r="L231" s="133"/>
      <c r="M231" s="133"/>
      <c r="N231" s="134" t="s">
        <v>687</v>
      </c>
      <c r="O231" s="134"/>
      <c r="P231" s="134" t="s">
        <v>697</v>
      </c>
      <c r="Q231" s="134"/>
      <c r="R231" s="134"/>
      <c r="S231" s="134"/>
      <c r="T231" s="135">
        <v>5990701264</v>
      </c>
      <c r="U231" s="135"/>
      <c r="V231" s="136" t="s">
        <v>622</v>
      </c>
      <c r="W231" s="136"/>
      <c r="X231" s="129">
        <v>19400</v>
      </c>
      <c r="Y231" s="129"/>
      <c r="Z231" s="129">
        <v>17636</v>
      </c>
      <c r="AA231" s="129"/>
      <c r="AB231" s="129"/>
      <c r="AC231" s="129"/>
      <c r="AD231" s="129">
        <v>1764</v>
      </c>
      <c r="AE231" s="129"/>
      <c r="AF231" s="129"/>
      <c r="AG231" s="129"/>
      <c r="AH231" s="129"/>
      <c r="AI231" s="129">
        <v>0</v>
      </c>
      <c r="AJ231" s="129"/>
      <c r="AK231" s="129"/>
    </row>
    <row r="232" spans="3:37" ht="14.85" customHeight="1" x14ac:dyDescent="0.15">
      <c r="C232" s="132">
        <v>44334</v>
      </c>
      <c r="D232" s="132"/>
      <c r="E232" s="132">
        <v>44336</v>
      </c>
      <c r="F232" s="132"/>
      <c r="G232" s="132"/>
      <c r="H232" s="132"/>
      <c r="I232" s="133" t="s">
        <v>621</v>
      </c>
      <c r="J232" s="133"/>
      <c r="K232" s="133"/>
      <c r="L232" s="133"/>
      <c r="M232" s="133"/>
      <c r="N232" s="134" t="s">
        <v>687</v>
      </c>
      <c r="O232" s="134"/>
      <c r="P232" s="134" t="s">
        <v>681</v>
      </c>
      <c r="Q232" s="134"/>
      <c r="R232" s="134"/>
      <c r="S232" s="134"/>
      <c r="T232" s="135">
        <v>1168119477</v>
      </c>
      <c r="U232" s="135"/>
      <c r="V232" s="136" t="s">
        <v>618</v>
      </c>
      <c r="W232" s="136"/>
      <c r="X232" s="129">
        <v>1400</v>
      </c>
      <c r="Y232" s="129"/>
      <c r="Z232" s="129">
        <v>1400</v>
      </c>
      <c r="AA232" s="129"/>
      <c r="AB232" s="129"/>
      <c r="AC232" s="129"/>
      <c r="AD232" s="129">
        <v>0</v>
      </c>
      <c r="AE232" s="129"/>
      <c r="AF232" s="129"/>
      <c r="AG232" s="129"/>
      <c r="AH232" s="129"/>
      <c r="AI232" s="129">
        <v>0</v>
      </c>
      <c r="AJ232" s="129"/>
      <c r="AK232" s="129"/>
    </row>
    <row r="233" spans="3:37" ht="14.85" customHeight="1" x14ac:dyDescent="0.15">
      <c r="C233" s="132">
        <v>44335</v>
      </c>
      <c r="D233" s="132"/>
      <c r="E233" s="132">
        <v>44337</v>
      </c>
      <c r="F233" s="132"/>
      <c r="G233" s="132"/>
      <c r="H233" s="132"/>
      <c r="I233" s="133" t="s">
        <v>621</v>
      </c>
      <c r="J233" s="133"/>
      <c r="K233" s="133"/>
      <c r="L233" s="133"/>
      <c r="M233" s="133"/>
      <c r="N233" s="134" t="s">
        <v>687</v>
      </c>
      <c r="O233" s="134"/>
      <c r="P233" s="134" t="s">
        <v>692</v>
      </c>
      <c r="Q233" s="134"/>
      <c r="R233" s="134"/>
      <c r="S233" s="134"/>
      <c r="T233" s="135">
        <v>5304900441</v>
      </c>
      <c r="U233" s="135"/>
      <c r="V233" s="136" t="s">
        <v>618</v>
      </c>
      <c r="W233" s="136"/>
      <c r="X233" s="129">
        <v>4500</v>
      </c>
      <c r="Y233" s="129"/>
      <c r="Z233" s="129">
        <v>4091</v>
      </c>
      <c r="AA233" s="129"/>
      <c r="AB233" s="129"/>
      <c r="AC233" s="129"/>
      <c r="AD233" s="129">
        <v>409</v>
      </c>
      <c r="AE233" s="129"/>
      <c r="AF233" s="129"/>
      <c r="AG233" s="129"/>
      <c r="AH233" s="129"/>
      <c r="AI233" s="129">
        <v>0</v>
      </c>
      <c r="AJ233" s="129"/>
      <c r="AK233" s="129"/>
    </row>
    <row r="234" spans="3:37" ht="14.85" customHeight="1" x14ac:dyDescent="0.15">
      <c r="C234" s="132">
        <v>44336</v>
      </c>
      <c r="D234" s="132"/>
      <c r="E234" s="132">
        <v>44337</v>
      </c>
      <c r="F234" s="132"/>
      <c r="G234" s="132"/>
      <c r="H234" s="132"/>
      <c r="I234" s="133" t="s">
        <v>621</v>
      </c>
      <c r="J234" s="133"/>
      <c r="K234" s="133"/>
      <c r="L234" s="133"/>
      <c r="M234" s="133"/>
      <c r="N234" s="134" t="s">
        <v>687</v>
      </c>
      <c r="O234" s="134"/>
      <c r="P234" s="134" t="s">
        <v>694</v>
      </c>
      <c r="Q234" s="134"/>
      <c r="R234" s="134"/>
      <c r="S234" s="134"/>
      <c r="T234" s="135">
        <v>1310434836</v>
      </c>
      <c r="U234" s="135"/>
      <c r="V234" s="136" t="s">
        <v>618</v>
      </c>
      <c r="W234" s="136"/>
      <c r="X234" s="129">
        <v>4500</v>
      </c>
      <c r="Y234" s="129"/>
      <c r="Z234" s="129">
        <v>4091</v>
      </c>
      <c r="AA234" s="129"/>
      <c r="AB234" s="129"/>
      <c r="AC234" s="129"/>
      <c r="AD234" s="129">
        <v>409</v>
      </c>
      <c r="AE234" s="129"/>
      <c r="AF234" s="129"/>
      <c r="AG234" s="129"/>
      <c r="AH234" s="129"/>
      <c r="AI234" s="129">
        <v>0</v>
      </c>
      <c r="AJ234" s="129"/>
      <c r="AK234" s="129"/>
    </row>
    <row r="235" spans="3:37" ht="14.85" customHeight="1" x14ac:dyDescent="0.15">
      <c r="C235" s="132">
        <v>44337</v>
      </c>
      <c r="D235" s="132"/>
      <c r="E235" s="132">
        <v>44338</v>
      </c>
      <c r="F235" s="132"/>
      <c r="G235" s="132"/>
      <c r="H235" s="132"/>
      <c r="I235" s="133" t="s">
        <v>621</v>
      </c>
      <c r="J235" s="133"/>
      <c r="K235" s="133"/>
      <c r="L235" s="133"/>
      <c r="M235" s="133"/>
      <c r="N235" s="134" t="s">
        <v>687</v>
      </c>
      <c r="O235" s="134"/>
      <c r="P235" s="134" t="s">
        <v>759</v>
      </c>
      <c r="Q235" s="134"/>
      <c r="R235" s="134"/>
      <c r="S235" s="134"/>
      <c r="T235" s="135">
        <v>1278563516</v>
      </c>
      <c r="U235" s="135"/>
      <c r="V235" s="136" t="s">
        <v>622</v>
      </c>
      <c r="W235" s="136"/>
      <c r="X235" s="129">
        <v>30000</v>
      </c>
      <c r="Y235" s="129"/>
      <c r="Z235" s="129">
        <v>27273</v>
      </c>
      <c r="AA235" s="129"/>
      <c r="AB235" s="129"/>
      <c r="AC235" s="129"/>
      <c r="AD235" s="129">
        <v>2727</v>
      </c>
      <c r="AE235" s="129"/>
      <c r="AF235" s="129"/>
      <c r="AG235" s="129"/>
      <c r="AH235" s="129"/>
      <c r="AI235" s="129">
        <v>0</v>
      </c>
      <c r="AJ235" s="129"/>
      <c r="AK235" s="129"/>
    </row>
    <row r="236" spans="3:37" ht="14.85" customHeight="1" x14ac:dyDescent="0.15">
      <c r="C236" s="132">
        <v>44338</v>
      </c>
      <c r="D236" s="132"/>
      <c r="E236" s="132">
        <v>44339</v>
      </c>
      <c r="F236" s="132"/>
      <c r="G236" s="132"/>
      <c r="H236" s="132"/>
      <c r="I236" s="133" t="s">
        <v>665</v>
      </c>
      <c r="J236" s="133"/>
      <c r="K236" s="133"/>
      <c r="L236" s="133"/>
      <c r="M236" s="133"/>
      <c r="N236" s="134" t="s">
        <v>664</v>
      </c>
      <c r="O236" s="134"/>
      <c r="P236" s="134" t="s">
        <v>694</v>
      </c>
      <c r="Q236" s="134"/>
      <c r="R236" s="134"/>
      <c r="S236" s="134"/>
      <c r="T236" s="135">
        <v>1310434836</v>
      </c>
      <c r="U236" s="135"/>
      <c r="V236" s="136" t="s">
        <v>618</v>
      </c>
      <c r="W236" s="136"/>
      <c r="X236" s="129">
        <v>4500</v>
      </c>
      <c r="Y236" s="129"/>
      <c r="Z236" s="129">
        <v>4091</v>
      </c>
      <c r="AA236" s="129"/>
      <c r="AB236" s="129"/>
      <c r="AC236" s="129"/>
      <c r="AD236" s="129">
        <v>409</v>
      </c>
      <c r="AE236" s="129"/>
      <c r="AF236" s="129"/>
      <c r="AG236" s="129"/>
      <c r="AH236" s="129"/>
      <c r="AI236" s="129">
        <v>0</v>
      </c>
      <c r="AJ236" s="129"/>
      <c r="AK236" s="129"/>
    </row>
    <row r="237" spans="3:37" ht="14.85" customHeight="1" x14ac:dyDescent="0.15">
      <c r="C237" s="132">
        <v>44340</v>
      </c>
      <c r="D237" s="132"/>
      <c r="E237" s="132">
        <v>44341</v>
      </c>
      <c r="F237" s="132"/>
      <c r="G237" s="132"/>
      <c r="H237" s="132"/>
      <c r="I237" s="133" t="s">
        <v>665</v>
      </c>
      <c r="J237" s="133"/>
      <c r="K237" s="133"/>
      <c r="L237" s="133"/>
      <c r="M237" s="133"/>
      <c r="N237" s="134" t="s">
        <v>664</v>
      </c>
      <c r="O237" s="134"/>
      <c r="P237" s="134" t="s">
        <v>758</v>
      </c>
      <c r="Q237" s="134"/>
      <c r="R237" s="134"/>
      <c r="S237" s="134"/>
      <c r="T237" s="135">
        <v>1048183559</v>
      </c>
      <c r="U237" s="135"/>
      <c r="V237" s="136" t="s">
        <v>618</v>
      </c>
      <c r="W237" s="136"/>
      <c r="X237" s="129">
        <v>4400</v>
      </c>
      <c r="Y237" s="129"/>
      <c r="Z237" s="129">
        <v>4400</v>
      </c>
      <c r="AA237" s="129"/>
      <c r="AB237" s="129"/>
      <c r="AC237" s="129"/>
      <c r="AD237" s="129">
        <v>0</v>
      </c>
      <c r="AE237" s="129"/>
      <c r="AF237" s="129"/>
      <c r="AG237" s="129"/>
      <c r="AH237" s="129"/>
      <c r="AI237" s="129">
        <v>0</v>
      </c>
      <c r="AJ237" s="129"/>
      <c r="AK237" s="129"/>
    </row>
    <row r="238" spans="3:37" ht="14.85" customHeight="1" x14ac:dyDescent="0.15">
      <c r="C238" s="132">
        <v>44339</v>
      </c>
      <c r="D238" s="132"/>
      <c r="E238" s="132">
        <v>44341</v>
      </c>
      <c r="F238" s="132"/>
      <c r="G238" s="132"/>
      <c r="H238" s="132"/>
      <c r="I238" s="133" t="s">
        <v>665</v>
      </c>
      <c r="J238" s="133"/>
      <c r="K238" s="133"/>
      <c r="L238" s="133"/>
      <c r="M238" s="133"/>
      <c r="N238" s="134" t="s">
        <v>664</v>
      </c>
      <c r="O238" s="134"/>
      <c r="P238" s="134" t="s">
        <v>757</v>
      </c>
      <c r="Q238" s="134"/>
      <c r="R238" s="134"/>
      <c r="S238" s="134"/>
      <c r="T238" s="135">
        <v>2362301325</v>
      </c>
      <c r="U238" s="135"/>
      <c r="V238" s="136" t="s">
        <v>618</v>
      </c>
      <c r="W238" s="136"/>
      <c r="X238" s="129">
        <v>4500</v>
      </c>
      <c r="Y238" s="129"/>
      <c r="Z238" s="129">
        <v>4091</v>
      </c>
      <c r="AA238" s="129"/>
      <c r="AB238" s="129"/>
      <c r="AC238" s="129"/>
      <c r="AD238" s="129">
        <v>409</v>
      </c>
      <c r="AE238" s="129"/>
      <c r="AF238" s="129"/>
      <c r="AG238" s="129"/>
      <c r="AH238" s="129"/>
      <c r="AI238" s="129">
        <v>0</v>
      </c>
      <c r="AJ238" s="129"/>
      <c r="AK238" s="129"/>
    </row>
    <row r="239" spans="3:37" ht="14.85" customHeight="1" x14ac:dyDescent="0.15">
      <c r="C239" s="132">
        <v>44340</v>
      </c>
      <c r="D239" s="132"/>
      <c r="E239" s="132">
        <v>44341</v>
      </c>
      <c r="F239" s="132"/>
      <c r="G239" s="132"/>
      <c r="H239" s="132"/>
      <c r="I239" s="133" t="s">
        <v>665</v>
      </c>
      <c r="J239" s="133"/>
      <c r="K239" s="133"/>
      <c r="L239" s="133"/>
      <c r="M239" s="133"/>
      <c r="N239" s="134" t="s">
        <v>664</v>
      </c>
      <c r="O239" s="134"/>
      <c r="P239" s="134" t="s">
        <v>694</v>
      </c>
      <c r="Q239" s="134"/>
      <c r="R239" s="134"/>
      <c r="S239" s="134"/>
      <c r="T239" s="135">
        <v>1310434836</v>
      </c>
      <c r="U239" s="135"/>
      <c r="V239" s="136" t="s">
        <v>618</v>
      </c>
      <c r="W239" s="136"/>
      <c r="X239" s="129">
        <v>4500</v>
      </c>
      <c r="Y239" s="129"/>
      <c r="Z239" s="129">
        <v>4091</v>
      </c>
      <c r="AA239" s="129"/>
      <c r="AB239" s="129"/>
      <c r="AC239" s="129"/>
      <c r="AD239" s="129">
        <v>409</v>
      </c>
      <c r="AE239" s="129"/>
      <c r="AF239" s="129"/>
      <c r="AG239" s="129"/>
      <c r="AH239" s="129"/>
      <c r="AI239" s="129">
        <v>0</v>
      </c>
      <c r="AJ239" s="129"/>
      <c r="AK239" s="129"/>
    </row>
    <row r="240" spans="3:37" ht="14.85" customHeight="1" x14ac:dyDescent="0.15">
      <c r="C240" s="132">
        <v>44341</v>
      </c>
      <c r="D240" s="132"/>
      <c r="E240" s="132">
        <v>44342</v>
      </c>
      <c r="F240" s="132"/>
      <c r="G240" s="132"/>
      <c r="H240" s="132"/>
      <c r="I240" s="133" t="s">
        <v>621</v>
      </c>
      <c r="J240" s="133"/>
      <c r="K240" s="133"/>
      <c r="L240" s="133"/>
      <c r="M240" s="133"/>
      <c r="N240" s="134" t="s">
        <v>687</v>
      </c>
      <c r="O240" s="134"/>
      <c r="P240" s="134" t="s">
        <v>681</v>
      </c>
      <c r="Q240" s="134"/>
      <c r="R240" s="134"/>
      <c r="S240" s="134"/>
      <c r="T240" s="135">
        <v>1168119477</v>
      </c>
      <c r="U240" s="135"/>
      <c r="V240" s="136" t="s">
        <v>618</v>
      </c>
      <c r="W240" s="136"/>
      <c r="X240" s="129">
        <v>700</v>
      </c>
      <c r="Y240" s="129"/>
      <c r="Z240" s="129">
        <v>700</v>
      </c>
      <c r="AA240" s="129"/>
      <c r="AB240" s="129"/>
      <c r="AC240" s="129"/>
      <c r="AD240" s="129">
        <v>0</v>
      </c>
      <c r="AE240" s="129"/>
      <c r="AF240" s="129"/>
      <c r="AG240" s="129"/>
      <c r="AH240" s="129"/>
      <c r="AI240" s="129">
        <v>0</v>
      </c>
      <c r="AJ240" s="129"/>
      <c r="AK240" s="129"/>
    </row>
    <row r="241" spans="3:37" ht="14.85" customHeight="1" x14ac:dyDescent="0.15">
      <c r="C241" s="132">
        <v>44342</v>
      </c>
      <c r="D241" s="132"/>
      <c r="E241" s="132">
        <v>44343</v>
      </c>
      <c r="F241" s="132"/>
      <c r="G241" s="132"/>
      <c r="H241" s="132"/>
      <c r="I241" s="133" t="s">
        <v>665</v>
      </c>
      <c r="J241" s="133"/>
      <c r="K241" s="133"/>
      <c r="L241" s="133"/>
      <c r="M241" s="133"/>
      <c r="N241" s="134" t="s">
        <v>664</v>
      </c>
      <c r="O241" s="134"/>
      <c r="P241" s="134" t="s">
        <v>694</v>
      </c>
      <c r="Q241" s="134"/>
      <c r="R241" s="134"/>
      <c r="S241" s="134"/>
      <c r="T241" s="135">
        <v>1310434836</v>
      </c>
      <c r="U241" s="135"/>
      <c r="V241" s="136" t="s">
        <v>618</v>
      </c>
      <c r="W241" s="136"/>
      <c r="X241" s="129">
        <v>4500</v>
      </c>
      <c r="Y241" s="129"/>
      <c r="Z241" s="129">
        <v>4091</v>
      </c>
      <c r="AA241" s="129"/>
      <c r="AB241" s="129"/>
      <c r="AC241" s="129"/>
      <c r="AD241" s="129">
        <v>409</v>
      </c>
      <c r="AE241" s="129"/>
      <c r="AF241" s="129"/>
      <c r="AG241" s="129"/>
      <c r="AH241" s="129"/>
      <c r="AI241" s="129">
        <v>0</v>
      </c>
      <c r="AJ241" s="129"/>
      <c r="AK241" s="129"/>
    </row>
    <row r="242" spans="3:37" ht="14.85" customHeight="1" x14ac:dyDescent="0.15">
      <c r="C242" s="132">
        <v>44343</v>
      </c>
      <c r="D242" s="132"/>
      <c r="E242" s="132">
        <v>44345</v>
      </c>
      <c r="F242" s="132"/>
      <c r="G242" s="132"/>
      <c r="H242" s="132"/>
      <c r="I242" s="133" t="s">
        <v>665</v>
      </c>
      <c r="J242" s="133"/>
      <c r="K242" s="133"/>
      <c r="L242" s="133"/>
      <c r="M242" s="133"/>
      <c r="N242" s="134" t="s">
        <v>664</v>
      </c>
      <c r="O242" s="134"/>
      <c r="P242" s="134" t="s">
        <v>692</v>
      </c>
      <c r="Q242" s="134"/>
      <c r="R242" s="134"/>
      <c r="S242" s="134"/>
      <c r="T242" s="135">
        <v>5304900441</v>
      </c>
      <c r="U242" s="135"/>
      <c r="V242" s="136" t="s">
        <v>618</v>
      </c>
      <c r="W242" s="136"/>
      <c r="X242" s="129">
        <v>4500</v>
      </c>
      <c r="Y242" s="129"/>
      <c r="Z242" s="129">
        <v>4091</v>
      </c>
      <c r="AA242" s="129"/>
      <c r="AB242" s="129"/>
      <c r="AC242" s="129"/>
      <c r="AD242" s="129">
        <v>409</v>
      </c>
      <c r="AE242" s="129"/>
      <c r="AF242" s="129"/>
      <c r="AG242" s="129"/>
      <c r="AH242" s="129"/>
      <c r="AI242" s="129">
        <v>0</v>
      </c>
      <c r="AJ242" s="129"/>
      <c r="AK242" s="129"/>
    </row>
    <row r="243" spans="3:37" ht="14.85" customHeight="1" x14ac:dyDescent="0.15">
      <c r="C243" s="132">
        <v>44344</v>
      </c>
      <c r="D243" s="132"/>
      <c r="E243" s="132">
        <v>44345</v>
      </c>
      <c r="F243" s="132"/>
      <c r="G243" s="132"/>
      <c r="H243" s="132"/>
      <c r="I243" s="133" t="s">
        <v>665</v>
      </c>
      <c r="J243" s="133"/>
      <c r="K243" s="133"/>
      <c r="L243" s="133"/>
      <c r="M243" s="133"/>
      <c r="N243" s="134" t="s">
        <v>664</v>
      </c>
      <c r="O243" s="134"/>
      <c r="P243" s="134" t="s">
        <v>694</v>
      </c>
      <c r="Q243" s="134"/>
      <c r="R243" s="134"/>
      <c r="S243" s="134"/>
      <c r="T243" s="135">
        <v>1310434836</v>
      </c>
      <c r="U243" s="135"/>
      <c r="V243" s="136" t="s">
        <v>618</v>
      </c>
      <c r="W243" s="136"/>
      <c r="X243" s="129">
        <v>4500</v>
      </c>
      <c r="Y243" s="129"/>
      <c r="Z243" s="129">
        <v>4091</v>
      </c>
      <c r="AA243" s="129"/>
      <c r="AB243" s="129"/>
      <c r="AC243" s="129"/>
      <c r="AD243" s="129">
        <v>409</v>
      </c>
      <c r="AE243" s="129"/>
      <c r="AF243" s="129"/>
      <c r="AG243" s="129"/>
      <c r="AH243" s="129"/>
      <c r="AI243" s="129">
        <v>0</v>
      </c>
      <c r="AJ243" s="129"/>
      <c r="AK243" s="129"/>
    </row>
    <row r="244" spans="3:37" ht="14.85" customHeight="1" x14ac:dyDescent="0.15">
      <c r="C244" s="132">
        <v>44348</v>
      </c>
      <c r="D244" s="132"/>
      <c r="E244" s="132">
        <v>44349</v>
      </c>
      <c r="F244" s="132"/>
      <c r="G244" s="132"/>
      <c r="H244" s="132"/>
      <c r="I244" s="133" t="s">
        <v>621</v>
      </c>
      <c r="J244" s="133"/>
      <c r="K244" s="133"/>
      <c r="L244" s="133"/>
      <c r="M244" s="133"/>
      <c r="N244" s="134" t="s">
        <v>687</v>
      </c>
      <c r="O244" s="134"/>
      <c r="P244" s="134" t="s">
        <v>681</v>
      </c>
      <c r="Q244" s="134"/>
      <c r="R244" s="134"/>
      <c r="S244" s="134"/>
      <c r="T244" s="135">
        <v>1168119477</v>
      </c>
      <c r="U244" s="135"/>
      <c r="V244" s="136" t="s">
        <v>618</v>
      </c>
      <c r="W244" s="136"/>
      <c r="X244" s="129">
        <v>700</v>
      </c>
      <c r="Y244" s="129"/>
      <c r="Z244" s="129">
        <v>700</v>
      </c>
      <c r="AA244" s="129"/>
      <c r="AB244" s="129"/>
      <c r="AC244" s="129"/>
      <c r="AD244" s="129">
        <v>0</v>
      </c>
      <c r="AE244" s="129"/>
      <c r="AF244" s="129"/>
      <c r="AG244" s="129"/>
      <c r="AH244" s="129"/>
      <c r="AI244" s="129">
        <v>0</v>
      </c>
      <c r="AJ244" s="129"/>
      <c r="AK244" s="129"/>
    </row>
    <row r="245" spans="3:37" ht="14.85" customHeight="1" x14ac:dyDescent="0.15">
      <c r="C245" s="132">
        <v>44347</v>
      </c>
      <c r="D245" s="132"/>
      <c r="E245" s="132">
        <v>44349</v>
      </c>
      <c r="F245" s="132"/>
      <c r="G245" s="132"/>
      <c r="H245" s="132"/>
      <c r="I245" s="133" t="s">
        <v>665</v>
      </c>
      <c r="J245" s="133"/>
      <c r="K245" s="133"/>
      <c r="L245" s="133"/>
      <c r="M245" s="133"/>
      <c r="N245" s="134" t="s">
        <v>664</v>
      </c>
      <c r="O245" s="134"/>
      <c r="P245" s="134" t="s">
        <v>756</v>
      </c>
      <c r="Q245" s="134"/>
      <c r="R245" s="134"/>
      <c r="S245" s="134"/>
      <c r="T245" s="135">
        <v>1048183559</v>
      </c>
      <c r="U245" s="135"/>
      <c r="V245" s="136" t="s">
        <v>618</v>
      </c>
      <c r="W245" s="136"/>
      <c r="X245" s="129">
        <v>1750</v>
      </c>
      <c r="Y245" s="129"/>
      <c r="Z245" s="129">
        <v>1750</v>
      </c>
      <c r="AA245" s="129"/>
      <c r="AB245" s="129"/>
      <c r="AC245" s="129"/>
      <c r="AD245" s="129">
        <v>0</v>
      </c>
      <c r="AE245" s="129"/>
      <c r="AF245" s="129"/>
      <c r="AG245" s="129"/>
      <c r="AH245" s="129"/>
      <c r="AI245" s="129">
        <v>0</v>
      </c>
      <c r="AJ245" s="129"/>
      <c r="AK245" s="129"/>
    </row>
    <row r="246" spans="3:37" ht="14.85" customHeight="1" x14ac:dyDescent="0.15">
      <c r="C246" s="132">
        <v>44316</v>
      </c>
      <c r="D246" s="132"/>
      <c r="E246" s="132">
        <v>44350</v>
      </c>
      <c r="F246" s="132"/>
      <c r="G246" s="132"/>
      <c r="H246" s="132"/>
      <c r="I246" s="133" t="s">
        <v>621</v>
      </c>
      <c r="J246" s="133"/>
      <c r="K246" s="133"/>
      <c r="L246" s="133"/>
      <c r="M246" s="133"/>
      <c r="N246" s="134" t="s">
        <v>687</v>
      </c>
      <c r="O246" s="134"/>
      <c r="P246" s="134" t="s">
        <v>755</v>
      </c>
      <c r="Q246" s="134"/>
      <c r="R246" s="134"/>
      <c r="S246" s="134"/>
      <c r="T246" s="135">
        <v>1318215327</v>
      </c>
      <c r="U246" s="135"/>
      <c r="V246" s="136" t="s">
        <v>618</v>
      </c>
      <c r="W246" s="136"/>
      <c r="X246" s="129">
        <v>6550</v>
      </c>
      <c r="Y246" s="129"/>
      <c r="Z246" s="129">
        <v>6550</v>
      </c>
      <c r="AA246" s="129"/>
      <c r="AB246" s="129"/>
      <c r="AC246" s="129"/>
      <c r="AD246" s="129">
        <v>0</v>
      </c>
      <c r="AE246" s="129"/>
      <c r="AF246" s="129"/>
      <c r="AG246" s="129"/>
      <c r="AH246" s="129"/>
      <c r="AI246" s="129">
        <v>0</v>
      </c>
      <c r="AJ246" s="129"/>
      <c r="AK246" s="129"/>
    </row>
    <row r="247" spans="3:37" ht="14.85" customHeight="1" x14ac:dyDescent="0.15">
      <c r="C247" s="132">
        <v>44348</v>
      </c>
      <c r="D247" s="132"/>
      <c r="E247" s="132">
        <v>44350</v>
      </c>
      <c r="F247" s="132"/>
      <c r="G247" s="132"/>
      <c r="H247" s="132"/>
      <c r="I247" s="133" t="s">
        <v>665</v>
      </c>
      <c r="J247" s="133"/>
      <c r="K247" s="133"/>
      <c r="L247" s="133"/>
      <c r="M247" s="133"/>
      <c r="N247" s="134" t="s">
        <v>664</v>
      </c>
      <c r="O247" s="134"/>
      <c r="P247" s="134" t="s">
        <v>692</v>
      </c>
      <c r="Q247" s="134"/>
      <c r="R247" s="134"/>
      <c r="S247" s="134"/>
      <c r="T247" s="135">
        <v>5304900441</v>
      </c>
      <c r="U247" s="135"/>
      <c r="V247" s="136" t="s">
        <v>618</v>
      </c>
      <c r="W247" s="136"/>
      <c r="X247" s="129">
        <v>4500</v>
      </c>
      <c r="Y247" s="129"/>
      <c r="Z247" s="129">
        <v>4091</v>
      </c>
      <c r="AA247" s="129"/>
      <c r="AB247" s="129"/>
      <c r="AC247" s="129"/>
      <c r="AD247" s="129">
        <v>409</v>
      </c>
      <c r="AE247" s="129"/>
      <c r="AF247" s="129"/>
      <c r="AG247" s="129"/>
      <c r="AH247" s="129"/>
      <c r="AI247" s="129">
        <v>0</v>
      </c>
      <c r="AJ247" s="129"/>
      <c r="AK247" s="129"/>
    </row>
    <row r="248" spans="3:37" ht="14.85" customHeight="1" x14ac:dyDescent="0.15">
      <c r="C248" s="132">
        <v>44349</v>
      </c>
      <c r="D248" s="132"/>
      <c r="E248" s="132">
        <v>44350</v>
      </c>
      <c r="F248" s="132"/>
      <c r="G248" s="132"/>
      <c r="H248" s="132"/>
      <c r="I248" s="133" t="s">
        <v>665</v>
      </c>
      <c r="J248" s="133"/>
      <c r="K248" s="133"/>
      <c r="L248" s="133"/>
      <c r="M248" s="133"/>
      <c r="N248" s="134" t="s">
        <v>664</v>
      </c>
      <c r="O248" s="134"/>
      <c r="P248" s="134" t="s">
        <v>634</v>
      </c>
      <c r="Q248" s="134"/>
      <c r="R248" s="134"/>
      <c r="S248" s="134"/>
      <c r="T248" s="135">
        <v>1298638970</v>
      </c>
      <c r="U248" s="135"/>
      <c r="V248" s="136" t="s">
        <v>618</v>
      </c>
      <c r="W248" s="136"/>
      <c r="X248" s="129">
        <v>5400</v>
      </c>
      <c r="Y248" s="129"/>
      <c r="Z248" s="129">
        <v>5400</v>
      </c>
      <c r="AA248" s="129"/>
      <c r="AB248" s="129"/>
      <c r="AC248" s="129"/>
      <c r="AD248" s="129">
        <v>0</v>
      </c>
      <c r="AE248" s="129"/>
      <c r="AF248" s="129"/>
      <c r="AG248" s="129"/>
      <c r="AH248" s="129"/>
      <c r="AI248" s="129">
        <v>0</v>
      </c>
      <c r="AJ248" s="129"/>
      <c r="AK248" s="129"/>
    </row>
    <row r="249" spans="3:37" ht="14.85" customHeight="1" x14ac:dyDescent="0.15">
      <c r="C249" s="132">
        <v>44349</v>
      </c>
      <c r="D249" s="132"/>
      <c r="E249" s="132">
        <v>44350</v>
      </c>
      <c r="F249" s="132"/>
      <c r="G249" s="132"/>
      <c r="H249" s="132"/>
      <c r="I249" s="133" t="s">
        <v>665</v>
      </c>
      <c r="J249" s="133"/>
      <c r="K249" s="133"/>
      <c r="L249" s="133"/>
      <c r="M249" s="133"/>
      <c r="N249" s="134" t="s">
        <v>664</v>
      </c>
      <c r="O249" s="134"/>
      <c r="P249" s="134" t="s">
        <v>634</v>
      </c>
      <c r="Q249" s="134"/>
      <c r="R249" s="134"/>
      <c r="S249" s="134"/>
      <c r="T249" s="135">
        <v>1298638970</v>
      </c>
      <c r="U249" s="135"/>
      <c r="V249" s="136" t="s">
        <v>618</v>
      </c>
      <c r="W249" s="136"/>
      <c r="X249" s="129">
        <v>5500</v>
      </c>
      <c r="Y249" s="129"/>
      <c r="Z249" s="129">
        <v>5500</v>
      </c>
      <c r="AA249" s="129"/>
      <c r="AB249" s="129"/>
      <c r="AC249" s="129"/>
      <c r="AD249" s="129">
        <v>0</v>
      </c>
      <c r="AE249" s="129"/>
      <c r="AF249" s="129"/>
      <c r="AG249" s="129"/>
      <c r="AH249" s="129"/>
      <c r="AI249" s="129">
        <v>0</v>
      </c>
      <c r="AJ249" s="129"/>
      <c r="AK249" s="129"/>
    </row>
    <row r="250" spans="3:37" ht="14.85" customHeight="1" x14ac:dyDescent="0.15">
      <c r="C250" s="132">
        <v>44316</v>
      </c>
      <c r="D250" s="132"/>
      <c r="E250" s="132">
        <v>44350</v>
      </c>
      <c r="F250" s="132"/>
      <c r="G250" s="132"/>
      <c r="H250" s="132"/>
      <c r="I250" s="133" t="s">
        <v>621</v>
      </c>
      <c r="J250" s="133"/>
      <c r="K250" s="133"/>
      <c r="L250" s="133"/>
      <c r="M250" s="133"/>
      <c r="N250" s="134" t="s">
        <v>620</v>
      </c>
      <c r="O250" s="134"/>
      <c r="P250" s="134" t="s">
        <v>640</v>
      </c>
      <c r="Q250" s="134"/>
      <c r="R250" s="134"/>
      <c r="S250" s="134"/>
      <c r="T250" s="135">
        <v>2028148079</v>
      </c>
      <c r="U250" s="135"/>
      <c r="V250" s="136" t="s">
        <v>618</v>
      </c>
      <c r="W250" s="136"/>
      <c r="X250" s="129">
        <v>200</v>
      </c>
      <c r="Y250" s="129"/>
      <c r="Z250" s="129">
        <v>200</v>
      </c>
      <c r="AA250" s="129"/>
      <c r="AB250" s="129"/>
      <c r="AC250" s="129"/>
      <c r="AD250" s="129">
        <v>0</v>
      </c>
      <c r="AE250" s="129"/>
      <c r="AF250" s="129"/>
      <c r="AG250" s="129"/>
      <c r="AH250" s="129"/>
      <c r="AI250" s="129">
        <v>0</v>
      </c>
      <c r="AJ250" s="129"/>
      <c r="AK250" s="129"/>
    </row>
    <row r="251" spans="3:37" ht="14.85" customHeight="1" x14ac:dyDescent="0.15">
      <c r="C251" s="132">
        <v>44349</v>
      </c>
      <c r="D251" s="132"/>
      <c r="E251" s="132">
        <v>44351</v>
      </c>
      <c r="F251" s="132"/>
      <c r="G251" s="132"/>
      <c r="H251" s="132"/>
      <c r="I251" s="133" t="s">
        <v>665</v>
      </c>
      <c r="J251" s="133"/>
      <c r="K251" s="133"/>
      <c r="L251" s="133"/>
      <c r="M251" s="133"/>
      <c r="N251" s="134" t="s">
        <v>664</v>
      </c>
      <c r="O251" s="134"/>
      <c r="P251" s="134" t="s">
        <v>692</v>
      </c>
      <c r="Q251" s="134"/>
      <c r="R251" s="134"/>
      <c r="S251" s="134"/>
      <c r="T251" s="135">
        <v>5304900441</v>
      </c>
      <c r="U251" s="135"/>
      <c r="V251" s="136" t="s">
        <v>618</v>
      </c>
      <c r="W251" s="136"/>
      <c r="X251" s="129">
        <v>4500</v>
      </c>
      <c r="Y251" s="129"/>
      <c r="Z251" s="129">
        <v>4091</v>
      </c>
      <c r="AA251" s="129"/>
      <c r="AB251" s="129"/>
      <c r="AC251" s="129"/>
      <c r="AD251" s="129">
        <v>409</v>
      </c>
      <c r="AE251" s="129"/>
      <c r="AF251" s="129"/>
      <c r="AG251" s="129"/>
      <c r="AH251" s="129"/>
      <c r="AI251" s="129">
        <v>0</v>
      </c>
      <c r="AJ251" s="129"/>
      <c r="AK251" s="129"/>
    </row>
    <row r="252" spans="3:37" ht="14.85" customHeight="1" x14ac:dyDescent="0.15">
      <c r="C252" s="132">
        <v>44351</v>
      </c>
      <c r="D252" s="132"/>
      <c r="E252" s="132">
        <v>44352</v>
      </c>
      <c r="F252" s="132"/>
      <c r="G252" s="132"/>
      <c r="H252" s="132"/>
      <c r="I252" s="133" t="s">
        <v>621</v>
      </c>
      <c r="J252" s="133"/>
      <c r="K252" s="133"/>
      <c r="L252" s="133"/>
      <c r="M252" s="133"/>
      <c r="N252" s="134" t="s">
        <v>687</v>
      </c>
      <c r="O252" s="134"/>
      <c r="P252" s="134" t="s">
        <v>694</v>
      </c>
      <c r="Q252" s="134"/>
      <c r="R252" s="134"/>
      <c r="S252" s="134"/>
      <c r="T252" s="135">
        <v>1310434836</v>
      </c>
      <c r="U252" s="135"/>
      <c r="V252" s="136" t="s">
        <v>618</v>
      </c>
      <c r="W252" s="136"/>
      <c r="X252" s="129">
        <v>4500</v>
      </c>
      <c r="Y252" s="129"/>
      <c r="Z252" s="129">
        <v>4091</v>
      </c>
      <c r="AA252" s="129"/>
      <c r="AB252" s="129"/>
      <c r="AC252" s="129"/>
      <c r="AD252" s="129">
        <v>409</v>
      </c>
      <c r="AE252" s="129"/>
      <c r="AF252" s="129"/>
      <c r="AG252" s="129"/>
      <c r="AH252" s="129"/>
      <c r="AI252" s="129">
        <v>0</v>
      </c>
      <c r="AJ252" s="129"/>
      <c r="AK252" s="129"/>
    </row>
    <row r="253" spans="3:37" ht="14.85" customHeight="1" x14ac:dyDescent="0.15">
      <c r="C253" s="132">
        <v>44352</v>
      </c>
      <c r="D253" s="132"/>
      <c r="E253" s="132">
        <v>44353</v>
      </c>
      <c r="F253" s="132"/>
      <c r="G253" s="132"/>
      <c r="H253" s="132"/>
      <c r="I253" s="133" t="s">
        <v>621</v>
      </c>
      <c r="J253" s="133"/>
      <c r="K253" s="133"/>
      <c r="L253" s="133"/>
      <c r="M253" s="133"/>
      <c r="N253" s="134" t="s">
        <v>687</v>
      </c>
      <c r="O253" s="134"/>
      <c r="P253" s="134" t="s">
        <v>699</v>
      </c>
      <c r="Q253" s="134"/>
      <c r="R253" s="134"/>
      <c r="S253" s="134"/>
      <c r="T253" s="135">
        <v>3021040377</v>
      </c>
      <c r="U253" s="135"/>
      <c r="V253" s="136" t="s">
        <v>622</v>
      </c>
      <c r="W253" s="136"/>
      <c r="X253" s="129">
        <v>4500</v>
      </c>
      <c r="Y253" s="129"/>
      <c r="Z253" s="129">
        <v>4091</v>
      </c>
      <c r="AA253" s="129"/>
      <c r="AB253" s="129"/>
      <c r="AC253" s="129"/>
      <c r="AD253" s="129">
        <v>409</v>
      </c>
      <c r="AE253" s="129"/>
      <c r="AF253" s="129"/>
      <c r="AG253" s="129"/>
      <c r="AH253" s="129"/>
      <c r="AI253" s="129">
        <v>0</v>
      </c>
      <c r="AJ253" s="129"/>
      <c r="AK253" s="129"/>
    </row>
    <row r="254" spans="3:37" ht="14.85" customHeight="1" x14ac:dyDescent="0.15">
      <c r="C254" s="132">
        <v>44352</v>
      </c>
      <c r="D254" s="132"/>
      <c r="E254" s="132">
        <v>44354</v>
      </c>
      <c r="F254" s="132"/>
      <c r="G254" s="132"/>
      <c r="H254" s="132"/>
      <c r="I254" s="133" t="s">
        <v>621</v>
      </c>
      <c r="J254" s="133"/>
      <c r="K254" s="133"/>
      <c r="L254" s="133"/>
      <c r="M254" s="133"/>
      <c r="N254" s="134" t="s">
        <v>687</v>
      </c>
      <c r="O254" s="134"/>
      <c r="P254" s="134" t="s">
        <v>681</v>
      </c>
      <c r="Q254" s="134"/>
      <c r="R254" s="134"/>
      <c r="S254" s="134"/>
      <c r="T254" s="135">
        <v>1168119477</v>
      </c>
      <c r="U254" s="135"/>
      <c r="V254" s="136" t="s">
        <v>618</v>
      </c>
      <c r="W254" s="136"/>
      <c r="X254" s="129">
        <v>700</v>
      </c>
      <c r="Y254" s="129"/>
      <c r="Z254" s="129">
        <v>700</v>
      </c>
      <c r="AA254" s="129"/>
      <c r="AB254" s="129"/>
      <c r="AC254" s="129"/>
      <c r="AD254" s="129">
        <v>0</v>
      </c>
      <c r="AE254" s="129"/>
      <c r="AF254" s="129"/>
      <c r="AG254" s="129"/>
      <c r="AH254" s="129"/>
      <c r="AI254" s="129">
        <v>0</v>
      </c>
      <c r="AJ254" s="129"/>
      <c r="AK254" s="129"/>
    </row>
    <row r="255" spans="3:37" ht="14.85" customHeight="1" x14ac:dyDescent="0.15">
      <c r="C255" s="132">
        <v>44354</v>
      </c>
      <c r="D255" s="132"/>
      <c r="E255" s="132">
        <v>44354</v>
      </c>
      <c r="F255" s="132"/>
      <c r="G255" s="132"/>
      <c r="H255" s="132"/>
      <c r="I255" s="133" t="s">
        <v>621</v>
      </c>
      <c r="J255" s="133"/>
      <c r="K255" s="133"/>
      <c r="L255" s="133"/>
      <c r="M255" s="133"/>
      <c r="N255" s="134" t="s">
        <v>643</v>
      </c>
      <c r="O255" s="134"/>
      <c r="P255" s="134" t="s">
        <v>656</v>
      </c>
      <c r="Q255" s="134"/>
      <c r="R255" s="134"/>
      <c r="S255" s="134"/>
      <c r="T255" s="136"/>
      <c r="U255" s="136"/>
      <c r="V255" s="136"/>
      <c r="W255" s="136"/>
      <c r="X255" s="129">
        <v>300000</v>
      </c>
      <c r="Y255" s="129"/>
      <c r="Z255" s="129">
        <v>300000</v>
      </c>
      <c r="AA255" s="129"/>
      <c r="AB255" s="129"/>
      <c r="AC255" s="129"/>
      <c r="AD255" s="129">
        <v>0</v>
      </c>
      <c r="AE255" s="129"/>
      <c r="AF255" s="129"/>
      <c r="AG255" s="129"/>
      <c r="AH255" s="129"/>
      <c r="AI255" s="129">
        <v>0</v>
      </c>
      <c r="AJ255" s="129"/>
      <c r="AK255" s="129"/>
    </row>
    <row r="256" spans="3:37" ht="14.85" customHeight="1" x14ac:dyDescent="0.15">
      <c r="C256" s="132">
        <v>44354</v>
      </c>
      <c r="D256" s="132"/>
      <c r="E256" s="132">
        <v>44355</v>
      </c>
      <c r="F256" s="132"/>
      <c r="G256" s="132"/>
      <c r="H256" s="132"/>
      <c r="I256" s="133" t="s">
        <v>621</v>
      </c>
      <c r="J256" s="133"/>
      <c r="K256" s="133"/>
      <c r="L256" s="133"/>
      <c r="M256" s="133"/>
      <c r="N256" s="134" t="s">
        <v>687</v>
      </c>
      <c r="O256" s="134"/>
      <c r="P256" s="134" t="s">
        <v>627</v>
      </c>
      <c r="Q256" s="134"/>
      <c r="R256" s="134"/>
      <c r="S256" s="134"/>
      <c r="T256" s="135">
        <v>2329300384</v>
      </c>
      <c r="U256" s="135"/>
      <c r="V256" s="136" t="s">
        <v>626</v>
      </c>
      <c r="W256" s="136"/>
      <c r="X256" s="129">
        <v>4400</v>
      </c>
      <c r="Y256" s="129"/>
      <c r="Z256" s="129">
        <v>4400</v>
      </c>
      <c r="AA256" s="129"/>
      <c r="AB256" s="129"/>
      <c r="AC256" s="129"/>
      <c r="AD256" s="129">
        <v>0</v>
      </c>
      <c r="AE256" s="129"/>
      <c r="AF256" s="129"/>
      <c r="AG256" s="129"/>
      <c r="AH256" s="129"/>
      <c r="AI256" s="129">
        <v>0</v>
      </c>
      <c r="AJ256" s="129"/>
      <c r="AK256" s="129"/>
    </row>
    <row r="257" spans="3:37" ht="29.65" customHeight="1" x14ac:dyDescent="0.15">
      <c r="V257" s="137" t="s">
        <v>617</v>
      </c>
      <c r="W257" s="137"/>
    </row>
    <row r="258" spans="3:37" ht="14.85" customHeight="1" x14ac:dyDescent="0.15">
      <c r="C258" s="132">
        <v>44354</v>
      </c>
      <c r="D258" s="132"/>
      <c r="E258" s="132">
        <v>44355</v>
      </c>
      <c r="F258" s="132"/>
      <c r="G258" s="132"/>
      <c r="H258" s="132"/>
      <c r="I258" s="133" t="s">
        <v>621</v>
      </c>
      <c r="J258" s="133"/>
      <c r="K258" s="133"/>
      <c r="L258" s="133"/>
      <c r="M258" s="133"/>
      <c r="N258" s="134" t="s">
        <v>687</v>
      </c>
      <c r="O258" s="134"/>
      <c r="P258" s="134" t="s">
        <v>697</v>
      </c>
      <c r="Q258" s="134"/>
      <c r="R258" s="134"/>
      <c r="S258" s="134"/>
      <c r="T258" s="135">
        <v>5990701264</v>
      </c>
      <c r="U258" s="135"/>
      <c r="V258" s="136" t="s">
        <v>622</v>
      </c>
      <c r="W258" s="136"/>
      <c r="X258" s="129">
        <v>16200</v>
      </c>
      <c r="Y258" s="129"/>
      <c r="Z258" s="129">
        <v>14727</v>
      </c>
      <c r="AA258" s="129"/>
      <c r="AB258" s="129"/>
      <c r="AC258" s="129"/>
      <c r="AD258" s="129">
        <v>1473</v>
      </c>
      <c r="AE258" s="129"/>
      <c r="AF258" s="129"/>
      <c r="AG258" s="129"/>
      <c r="AH258" s="129"/>
      <c r="AI258" s="129">
        <v>0</v>
      </c>
      <c r="AJ258" s="129"/>
      <c r="AK258" s="129"/>
    </row>
    <row r="259" spans="3:37" ht="14.85" customHeight="1" x14ac:dyDescent="0.15">
      <c r="C259" s="132">
        <v>44354</v>
      </c>
      <c r="D259" s="132"/>
      <c r="E259" s="132">
        <v>44355</v>
      </c>
      <c r="F259" s="132"/>
      <c r="G259" s="132"/>
      <c r="H259" s="132"/>
      <c r="I259" s="133" t="s">
        <v>621</v>
      </c>
      <c r="J259" s="133"/>
      <c r="K259" s="133"/>
      <c r="L259" s="133"/>
      <c r="M259" s="133"/>
      <c r="N259" s="134" t="s">
        <v>687</v>
      </c>
      <c r="O259" s="134"/>
      <c r="P259" s="134" t="s">
        <v>625</v>
      </c>
      <c r="Q259" s="134"/>
      <c r="R259" s="134"/>
      <c r="S259" s="134"/>
      <c r="T259" s="135">
        <v>6073354644</v>
      </c>
      <c r="U259" s="135"/>
      <c r="V259" s="136" t="s">
        <v>618</v>
      </c>
      <c r="W259" s="136"/>
      <c r="X259" s="129">
        <v>31600</v>
      </c>
      <c r="Y259" s="129"/>
      <c r="Z259" s="129">
        <v>31600</v>
      </c>
      <c r="AA259" s="129"/>
      <c r="AB259" s="129"/>
      <c r="AC259" s="129"/>
      <c r="AD259" s="129">
        <v>0</v>
      </c>
      <c r="AE259" s="129"/>
      <c r="AF259" s="129"/>
      <c r="AG259" s="129"/>
      <c r="AH259" s="129"/>
      <c r="AI259" s="129">
        <v>0</v>
      </c>
      <c r="AJ259" s="129"/>
      <c r="AK259" s="129"/>
    </row>
    <row r="260" spans="3:37" ht="14.85" customHeight="1" x14ac:dyDescent="0.15">
      <c r="C260" s="132">
        <v>44354</v>
      </c>
      <c r="D260" s="132"/>
      <c r="E260" s="132">
        <v>44355</v>
      </c>
      <c r="F260" s="132"/>
      <c r="G260" s="132"/>
      <c r="H260" s="132"/>
      <c r="I260" s="133" t="s">
        <v>621</v>
      </c>
      <c r="J260" s="133"/>
      <c r="K260" s="133"/>
      <c r="L260" s="133"/>
      <c r="M260" s="133"/>
      <c r="N260" s="134" t="s">
        <v>687</v>
      </c>
      <c r="O260" s="134"/>
      <c r="P260" s="134" t="s">
        <v>694</v>
      </c>
      <c r="Q260" s="134"/>
      <c r="R260" s="134"/>
      <c r="S260" s="134"/>
      <c r="T260" s="135">
        <v>1310434836</v>
      </c>
      <c r="U260" s="135"/>
      <c r="V260" s="136" t="s">
        <v>618</v>
      </c>
      <c r="W260" s="136"/>
      <c r="X260" s="129">
        <v>4500</v>
      </c>
      <c r="Y260" s="129"/>
      <c r="Z260" s="129">
        <v>4091</v>
      </c>
      <c r="AA260" s="129"/>
      <c r="AB260" s="129"/>
      <c r="AC260" s="129"/>
      <c r="AD260" s="129">
        <v>409</v>
      </c>
      <c r="AE260" s="129"/>
      <c r="AF260" s="129"/>
      <c r="AG260" s="129"/>
      <c r="AH260" s="129"/>
      <c r="AI260" s="129">
        <v>0</v>
      </c>
      <c r="AJ260" s="129"/>
      <c r="AK260" s="129"/>
    </row>
    <row r="261" spans="3:37" ht="14.85" customHeight="1" x14ac:dyDescent="0.15">
      <c r="C261" s="132">
        <v>44355</v>
      </c>
      <c r="D261" s="132"/>
      <c r="E261" s="132">
        <v>44356</v>
      </c>
      <c r="F261" s="132"/>
      <c r="G261" s="132"/>
      <c r="H261" s="132"/>
      <c r="I261" s="133" t="s">
        <v>621</v>
      </c>
      <c r="J261" s="133"/>
      <c r="K261" s="133"/>
      <c r="L261" s="133"/>
      <c r="M261" s="133"/>
      <c r="N261" s="134" t="s">
        <v>687</v>
      </c>
      <c r="O261" s="134"/>
      <c r="P261" s="134" t="s">
        <v>694</v>
      </c>
      <c r="Q261" s="134"/>
      <c r="R261" s="134"/>
      <c r="S261" s="134"/>
      <c r="T261" s="135">
        <v>1310434836</v>
      </c>
      <c r="U261" s="135"/>
      <c r="V261" s="136" t="s">
        <v>618</v>
      </c>
      <c r="W261" s="136"/>
      <c r="X261" s="129">
        <v>4500</v>
      </c>
      <c r="Y261" s="129"/>
      <c r="Z261" s="129">
        <v>4091</v>
      </c>
      <c r="AA261" s="129"/>
      <c r="AB261" s="129"/>
      <c r="AC261" s="129"/>
      <c r="AD261" s="129">
        <v>409</v>
      </c>
      <c r="AE261" s="129"/>
      <c r="AF261" s="129"/>
      <c r="AG261" s="129"/>
      <c r="AH261" s="129"/>
      <c r="AI261" s="129">
        <v>0</v>
      </c>
      <c r="AJ261" s="129"/>
      <c r="AK261" s="129"/>
    </row>
    <row r="262" spans="3:37" ht="14.85" customHeight="1" x14ac:dyDescent="0.15">
      <c r="C262" s="132">
        <v>44360</v>
      </c>
      <c r="D262" s="132"/>
      <c r="E262" s="132">
        <v>44357</v>
      </c>
      <c r="F262" s="132"/>
      <c r="G262" s="132"/>
      <c r="H262" s="132"/>
      <c r="I262" s="133" t="s">
        <v>621</v>
      </c>
      <c r="J262" s="133"/>
      <c r="K262" s="133"/>
      <c r="L262" s="133"/>
      <c r="M262" s="133"/>
      <c r="N262" s="134" t="s">
        <v>687</v>
      </c>
      <c r="O262" s="134"/>
      <c r="P262" s="134" t="s">
        <v>636</v>
      </c>
      <c r="Q262" s="134"/>
      <c r="R262" s="134"/>
      <c r="S262" s="134"/>
      <c r="T262" s="135">
        <v>2208139938</v>
      </c>
      <c r="U262" s="135"/>
      <c r="V262" s="136" t="s">
        <v>618</v>
      </c>
      <c r="W262" s="136"/>
      <c r="X262" s="129">
        <v>8760</v>
      </c>
      <c r="Y262" s="129"/>
      <c r="Z262" s="129">
        <v>8760</v>
      </c>
      <c r="AA262" s="129"/>
      <c r="AB262" s="129"/>
      <c r="AC262" s="129"/>
      <c r="AD262" s="129">
        <v>0</v>
      </c>
      <c r="AE262" s="129"/>
      <c r="AF262" s="129"/>
      <c r="AG262" s="129"/>
      <c r="AH262" s="129"/>
      <c r="AI262" s="129">
        <v>0</v>
      </c>
      <c r="AJ262" s="129"/>
      <c r="AK262" s="129"/>
    </row>
    <row r="263" spans="3:37" ht="14.85" customHeight="1" x14ac:dyDescent="0.15">
      <c r="C263" s="132">
        <v>44356</v>
      </c>
      <c r="D263" s="132"/>
      <c r="E263" s="132">
        <v>44356</v>
      </c>
      <c r="F263" s="132"/>
      <c r="G263" s="132"/>
      <c r="H263" s="132"/>
      <c r="I263" s="133" t="s">
        <v>621</v>
      </c>
      <c r="J263" s="133"/>
      <c r="K263" s="133"/>
      <c r="L263" s="133"/>
      <c r="M263" s="133"/>
      <c r="N263" s="134" t="s">
        <v>643</v>
      </c>
      <c r="O263" s="134"/>
      <c r="P263" s="134" t="s">
        <v>656</v>
      </c>
      <c r="Q263" s="134"/>
      <c r="R263" s="134"/>
      <c r="S263" s="134"/>
      <c r="T263" s="136"/>
      <c r="U263" s="136"/>
      <c r="V263" s="136"/>
      <c r="W263" s="136"/>
      <c r="X263" s="129">
        <v>100000</v>
      </c>
      <c r="Y263" s="129"/>
      <c r="Z263" s="129">
        <v>100000</v>
      </c>
      <c r="AA263" s="129"/>
      <c r="AB263" s="129"/>
      <c r="AC263" s="129"/>
      <c r="AD263" s="129">
        <v>0</v>
      </c>
      <c r="AE263" s="129"/>
      <c r="AF263" s="129"/>
      <c r="AG263" s="129"/>
      <c r="AH263" s="129"/>
      <c r="AI263" s="129">
        <v>0</v>
      </c>
      <c r="AJ263" s="129"/>
      <c r="AK263" s="129"/>
    </row>
    <row r="264" spans="3:37" ht="14.85" customHeight="1" x14ac:dyDescent="0.15">
      <c r="C264" s="132">
        <v>44357</v>
      </c>
      <c r="D264" s="132"/>
      <c r="E264" s="132">
        <v>44358</v>
      </c>
      <c r="F264" s="132"/>
      <c r="G264" s="132"/>
      <c r="H264" s="132"/>
      <c r="I264" s="133" t="s">
        <v>621</v>
      </c>
      <c r="J264" s="133"/>
      <c r="K264" s="133"/>
      <c r="L264" s="133"/>
      <c r="M264" s="133"/>
      <c r="N264" s="134" t="s">
        <v>687</v>
      </c>
      <c r="O264" s="134"/>
      <c r="P264" s="134" t="s">
        <v>699</v>
      </c>
      <c r="Q264" s="134"/>
      <c r="R264" s="134"/>
      <c r="S264" s="134"/>
      <c r="T264" s="135">
        <v>3021040377</v>
      </c>
      <c r="U264" s="135"/>
      <c r="V264" s="136" t="s">
        <v>622</v>
      </c>
      <c r="W264" s="136"/>
      <c r="X264" s="129">
        <v>4500</v>
      </c>
      <c r="Y264" s="129"/>
      <c r="Z264" s="129">
        <v>4091</v>
      </c>
      <c r="AA264" s="129"/>
      <c r="AB264" s="129"/>
      <c r="AC264" s="129"/>
      <c r="AD264" s="129">
        <v>409</v>
      </c>
      <c r="AE264" s="129"/>
      <c r="AF264" s="129"/>
      <c r="AG264" s="129"/>
      <c r="AH264" s="129"/>
      <c r="AI264" s="129">
        <v>0</v>
      </c>
      <c r="AJ264" s="129"/>
      <c r="AK264" s="129"/>
    </row>
    <row r="265" spans="3:37" ht="14.85" customHeight="1" x14ac:dyDescent="0.15">
      <c r="C265" s="132">
        <v>44358</v>
      </c>
      <c r="D265" s="132"/>
      <c r="E265" s="132">
        <v>44359</v>
      </c>
      <c r="F265" s="132"/>
      <c r="G265" s="132"/>
      <c r="H265" s="132"/>
      <c r="I265" s="133" t="s">
        <v>621</v>
      </c>
      <c r="J265" s="133"/>
      <c r="K265" s="133"/>
      <c r="L265" s="133"/>
      <c r="M265" s="133"/>
      <c r="N265" s="134" t="s">
        <v>687</v>
      </c>
      <c r="O265" s="134"/>
      <c r="P265" s="134" t="s">
        <v>681</v>
      </c>
      <c r="Q265" s="134"/>
      <c r="R265" s="134"/>
      <c r="S265" s="134"/>
      <c r="T265" s="135">
        <v>1168119477</v>
      </c>
      <c r="U265" s="135"/>
      <c r="V265" s="136" t="s">
        <v>618</v>
      </c>
      <c r="W265" s="136"/>
      <c r="X265" s="129">
        <v>700</v>
      </c>
      <c r="Y265" s="129"/>
      <c r="Z265" s="129">
        <v>700</v>
      </c>
      <c r="AA265" s="129"/>
      <c r="AB265" s="129"/>
      <c r="AC265" s="129"/>
      <c r="AD265" s="129">
        <v>0</v>
      </c>
      <c r="AE265" s="129"/>
      <c r="AF265" s="129"/>
      <c r="AG265" s="129"/>
      <c r="AH265" s="129"/>
      <c r="AI265" s="129">
        <v>0</v>
      </c>
      <c r="AJ265" s="129"/>
      <c r="AK265" s="129"/>
    </row>
    <row r="266" spans="3:37" ht="14.85" customHeight="1" x14ac:dyDescent="0.15">
      <c r="C266" s="132">
        <v>44358</v>
      </c>
      <c r="D266" s="132"/>
      <c r="E266" s="132">
        <v>44359</v>
      </c>
      <c r="F266" s="132"/>
      <c r="G266" s="132"/>
      <c r="H266" s="132"/>
      <c r="I266" s="133" t="s">
        <v>621</v>
      </c>
      <c r="J266" s="133"/>
      <c r="K266" s="133"/>
      <c r="L266" s="133"/>
      <c r="M266" s="133"/>
      <c r="N266" s="134" t="s">
        <v>687</v>
      </c>
      <c r="O266" s="134"/>
      <c r="P266" s="134" t="s">
        <v>699</v>
      </c>
      <c r="Q266" s="134"/>
      <c r="R266" s="134"/>
      <c r="S266" s="134"/>
      <c r="T266" s="135">
        <v>3021040377</v>
      </c>
      <c r="U266" s="135"/>
      <c r="V266" s="136" t="s">
        <v>622</v>
      </c>
      <c r="W266" s="136"/>
      <c r="X266" s="129">
        <v>4500</v>
      </c>
      <c r="Y266" s="129"/>
      <c r="Z266" s="129">
        <v>4091</v>
      </c>
      <c r="AA266" s="129"/>
      <c r="AB266" s="129"/>
      <c r="AC266" s="129"/>
      <c r="AD266" s="129">
        <v>409</v>
      </c>
      <c r="AE266" s="129"/>
      <c r="AF266" s="129"/>
      <c r="AG266" s="129"/>
      <c r="AH266" s="129"/>
      <c r="AI266" s="129">
        <v>0</v>
      </c>
      <c r="AJ266" s="129"/>
      <c r="AK266" s="129"/>
    </row>
    <row r="267" spans="3:37" ht="14.85" customHeight="1" x14ac:dyDescent="0.15">
      <c r="C267" s="132">
        <v>44360</v>
      </c>
      <c r="D267" s="132"/>
      <c r="E267" s="132">
        <v>44361</v>
      </c>
      <c r="F267" s="132"/>
      <c r="G267" s="132"/>
      <c r="H267" s="132"/>
      <c r="I267" s="133" t="s">
        <v>665</v>
      </c>
      <c r="J267" s="133"/>
      <c r="K267" s="133"/>
      <c r="L267" s="133"/>
      <c r="M267" s="133"/>
      <c r="N267" s="134" t="s">
        <v>664</v>
      </c>
      <c r="O267" s="134"/>
      <c r="P267" s="134" t="s">
        <v>699</v>
      </c>
      <c r="Q267" s="134"/>
      <c r="R267" s="134"/>
      <c r="S267" s="134"/>
      <c r="T267" s="135">
        <v>3021040377</v>
      </c>
      <c r="U267" s="135"/>
      <c r="V267" s="136" t="s">
        <v>622</v>
      </c>
      <c r="W267" s="136"/>
      <c r="X267" s="129">
        <v>4500</v>
      </c>
      <c r="Y267" s="129"/>
      <c r="Z267" s="129">
        <v>4091</v>
      </c>
      <c r="AA267" s="129"/>
      <c r="AB267" s="129"/>
      <c r="AC267" s="129"/>
      <c r="AD267" s="129">
        <v>409</v>
      </c>
      <c r="AE267" s="129"/>
      <c r="AF267" s="129"/>
      <c r="AG267" s="129"/>
      <c r="AH267" s="129"/>
      <c r="AI267" s="129">
        <v>0</v>
      </c>
      <c r="AJ267" s="129"/>
      <c r="AK267" s="129"/>
    </row>
    <row r="268" spans="3:37" ht="14.85" customHeight="1" x14ac:dyDescent="0.15">
      <c r="C268" s="132">
        <v>44365</v>
      </c>
      <c r="D268" s="132"/>
      <c r="E268" s="132">
        <v>44366</v>
      </c>
      <c r="F268" s="132"/>
      <c r="G268" s="132"/>
      <c r="H268" s="132"/>
      <c r="I268" s="133" t="s">
        <v>621</v>
      </c>
      <c r="J268" s="133"/>
      <c r="K268" s="133"/>
      <c r="L268" s="133"/>
      <c r="M268" s="133"/>
      <c r="N268" s="134" t="s">
        <v>687</v>
      </c>
      <c r="O268" s="134"/>
      <c r="P268" s="134" t="s">
        <v>666</v>
      </c>
      <c r="Q268" s="134"/>
      <c r="R268" s="134"/>
      <c r="S268" s="134"/>
      <c r="T268" s="135">
        <v>2208139938</v>
      </c>
      <c r="U268" s="135"/>
      <c r="V268" s="136" t="s">
        <v>618</v>
      </c>
      <c r="W268" s="136"/>
      <c r="X268" s="129">
        <v>54890</v>
      </c>
      <c r="Y268" s="129"/>
      <c r="Z268" s="129">
        <v>54890</v>
      </c>
      <c r="AA268" s="129"/>
      <c r="AB268" s="129"/>
      <c r="AC268" s="129"/>
      <c r="AD268" s="129">
        <v>0</v>
      </c>
      <c r="AE268" s="129"/>
      <c r="AF268" s="129"/>
      <c r="AG268" s="129"/>
      <c r="AH268" s="129"/>
      <c r="AI268" s="129">
        <v>0</v>
      </c>
      <c r="AJ268" s="129"/>
      <c r="AK268" s="129"/>
    </row>
    <row r="269" spans="3:37" ht="14.85" customHeight="1" x14ac:dyDescent="0.15">
      <c r="C269" s="132">
        <v>44365</v>
      </c>
      <c r="D269" s="132"/>
      <c r="E269" s="132">
        <v>44366</v>
      </c>
      <c r="F269" s="132"/>
      <c r="G269" s="132"/>
      <c r="H269" s="132"/>
      <c r="I269" s="133" t="s">
        <v>621</v>
      </c>
      <c r="J269" s="133"/>
      <c r="K269" s="133"/>
      <c r="L269" s="133"/>
      <c r="M269" s="133"/>
      <c r="N269" s="134" t="s">
        <v>687</v>
      </c>
      <c r="O269" s="134"/>
      <c r="P269" s="134" t="s">
        <v>651</v>
      </c>
      <c r="Q269" s="134"/>
      <c r="R269" s="134"/>
      <c r="S269" s="134"/>
      <c r="T269" s="135">
        <v>1211666348</v>
      </c>
      <c r="U269" s="135"/>
      <c r="V269" s="136" t="s">
        <v>622</v>
      </c>
      <c r="W269" s="136"/>
      <c r="X269" s="129">
        <v>37000</v>
      </c>
      <c r="Y269" s="129"/>
      <c r="Z269" s="129">
        <v>33636</v>
      </c>
      <c r="AA269" s="129"/>
      <c r="AB269" s="129"/>
      <c r="AC269" s="129"/>
      <c r="AD269" s="129">
        <v>3364</v>
      </c>
      <c r="AE269" s="129"/>
      <c r="AF269" s="129"/>
      <c r="AG269" s="129"/>
      <c r="AH269" s="129"/>
      <c r="AI269" s="129">
        <v>0</v>
      </c>
      <c r="AJ269" s="129"/>
      <c r="AK269" s="129"/>
    </row>
    <row r="270" spans="3:37" ht="14.85" customHeight="1" x14ac:dyDescent="0.15">
      <c r="C270" s="132">
        <v>44365</v>
      </c>
      <c r="D270" s="132"/>
      <c r="E270" s="132">
        <v>44366</v>
      </c>
      <c r="F270" s="132"/>
      <c r="G270" s="132"/>
      <c r="H270" s="132"/>
      <c r="I270" s="133" t="s">
        <v>621</v>
      </c>
      <c r="J270" s="133"/>
      <c r="K270" s="133"/>
      <c r="L270" s="133"/>
      <c r="M270" s="133"/>
      <c r="N270" s="134" t="s">
        <v>687</v>
      </c>
      <c r="O270" s="134"/>
      <c r="P270" s="134" t="s">
        <v>754</v>
      </c>
      <c r="Q270" s="134"/>
      <c r="R270" s="134"/>
      <c r="S270" s="134"/>
      <c r="T270" s="135">
        <v>4802900624</v>
      </c>
      <c r="U270" s="135"/>
      <c r="V270" s="136" t="s">
        <v>618</v>
      </c>
      <c r="W270" s="136"/>
      <c r="X270" s="129">
        <v>34000</v>
      </c>
      <c r="Y270" s="129"/>
      <c r="Z270" s="129">
        <v>30911</v>
      </c>
      <c r="AA270" s="129"/>
      <c r="AB270" s="129"/>
      <c r="AC270" s="129"/>
      <c r="AD270" s="129">
        <v>3089</v>
      </c>
      <c r="AE270" s="129"/>
      <c r="AF270" s="129"/>
      <c r="AG270" s="129"/>
      <c r="AH270" s="129"/>
      <c r="AI270" s="129">
        <v>0</v>
      </c>
      <c r="AJ270" s="129"/>
      <c r="AK270" s="129"/>
    </row>
    <row r="271" spans="3:37" ht="14.85" customHeight="1" x14ac:dyDescent="0.15">
      <c r="C271" s="132">
        <v>44364</v>
      </c>
      <c r="D271" s="132"/>
      <c r="E271" s="132">
        <v>44366</v>
      </c>
      <c r="F271" s="132"/>
      <c r="G271" s="132"/>
      <c r="H271" s="132"/>
      <c r="I271" s="133" t="s">
        <v>621</v>
      </c>
      <c r="J271" s="133"/>
      <c r="K271" s="133"/>
      <c r="L271" s="133"/>
      <c r="M271" s="133"/>
      <c r="N271" s="134" t="s">
        <v>687</v>
      </c>
      <c r="O271" s="134"/>
      <c r="P271" s="134" t="s">
        <v>692</v>
      </c>
      <c r="Q271" s="134"/>
      <c r="R271" s="134"/>
      <c r="S271" s="134"/>
      <c r="T271" s="135">
        <v>5304900441</v>
      </c>
      <c r="U271" s="135"/>
      <c r="V271" s="136" t="s">
        <v>618</v>
      </c>
      <c r="W271" s="136"/>
      <c r="X271" s="129">
        <v>4500</v>
      </c>
      <c r="Y271" s="129"/>
      <c r="Z271" s="129">
        <v>4091</v>
      </c>
      <c r="AA271" s="129"/>
      <c r="AB271" s="129"/>
      <c r="AC271" s="129"/>
      <c r="AD271" s="129">
        <v>409</v>
      </c>
      <c r="AE271" s="129"/>
      <c r="AF271" s="129"/>
      <c r="AG271" s="129"/>
      <c r="AH271" s="129"/>
      <c r="AI271" s="129">
        <v>0</v>
      </c>
      <c r="AJ271" s="129"/>
      <c r="AK271" s="129"/>
    </row>
    <row r="272" spans="3:37" ht="14.85" customHeight="1" x14ac:dyDescent="0.15">
      <c r="C272" s="132">
        <v>44365</v>
      </c>
      <c r="D272" s="132"/>
      <c r="E272" s="132">
        <v>44366</v>
      </c>
      <c r="F272" s="132"/>
      <c r="G272" s="132"/>
      <c r="H272" s="132"/>
      <c r="I272" s="133" t="s">
        <v>621</v>
      </c>
      <c r="J272" s="133"/>
      <c r="K272" s="133"/>
      <c r="L272" s="133"/>
      <c r="M272" s="133"/>
      <c r="N272" s="134" t="s">
        <v>687</v>
      </c>
      <c r="O272" s="134"/>
      <c r="P272" s="134" t="s">
        <v>694</v>
      </c>
      <c r="Q272" s="134"/>
      <c r="R272" s="134"/>
      <c r="S272" s="134"/>
      <c r="T272" s="135">
        <v>1310434836</v>
      </c>
      <c r="U272" s="135"/>
      <c r="V272" s="136" t="s">
        <v>618</v>
      </c>
      <c r="W272" s="136"/>
      <c r="X272" s="129">
        <v>4500</v>
      </c>
      <c r="Y272" s="129"/>
      <c r="Z272" s="129">
        <v>4091</v>
      </c>
      <c r="AA272" s="129"/>
      <c r="AB272" s="129"/>
      <c r="AC272" s="129"/>
      <c r="AD272" s="129">
        <v>409</v>
      </c>
      <c r="AE272" s="129"/>
      <c r="AF272" s="129"/>
      <c r="AG272" s="129"/>
      <c r="AH272" s="129"/>
      <c r="AI272" s="129">
        <v>0</v>
      </c>
      <c r="AJ272" s="129"/>
      <c r="AK272" s="129"/>
    </row>
    <row r="273" spans="3:37" ht="14.85" customHeight="1" x14ac:dyDescent="0.15">
      <c r="C273" s="132">
        <v>44364</v>
      </c>
      <c r="D273" s="132"/>
      <c r="E273" s="132">
        <v>44366</v>
      </c>
      <c r="F273" s="132"/>
      <c r="G273" s="132"/>
      <c r="H273" s="132"/>
      <c r="I273" s="133" t="s">
        <v>621</v>
      </c>
      <c r="J273" s="133"/>
      <c r="K273" s="133"/>
      <c r="L273" s="133"/>
      <c r="M273" s="133"/>
      <c r="N273" s="134" t="s">
        <v>687</v>
      </c>
      <c r="O273" s="134"/>
      <c r="P273" s="134" t="s">
        <v>686</v>
      </c>
      <c r="Q273" s="134"/>
      <c r="R273" s="134"/>
      <c r="S273" s="134"/>
      <c r="T273" s="135">
        <v>4118601799</v>
      </c>
      <c r="U273" s="135"/>
      <c r="V273" s="136" t="s">
        <v>618</v>
      </c>
      <c r="W273" s="136"/>
      <c r="X273" s="129">
        <v>40000</v>
      </c>
      <c r="Y273" s="129"/>
      <c r="Z273" s="129">
        <v>40000</v>
      </c>
      <c r="AA273" s="129"/>
      <c r="AB273" s="129"/>
      <c r="AC273" s="129"/>
      <c r="AD273" s="129">
        <v>0</v>
      </c>
      <c r="AE273" s="129"/>
      <c r="AF273" s="129"/>
      <c r="AG273" s="129"/>
      <c r="AH273" s="129"/>
      <c r="AI273" s="129">
        <v>0</v>
      </c>
      <c r="AJ273" s="129"/>
      <c r="AK273" s="129"/>
    </row>
    <row r="274" spans="3:37" ht="14.85" customHeight="1" x14ac:dyDescent="0.15">
      <c r="C274" s="132">
        <v>44368</v>
      </c>
      <c r="D274" s="132"/>
      <c r="E274" s="132">
        <v>44369</v>
      </c>
      <c r="F274" s="132"/>
      <c r="G274" s="132"/>
      <c r="H274" s="132"/>
      <c r="I274" s="133" t="s">
        <v>621</v>
      </c>
      <c r="J274" s="133"/>
      <c r="K274" s="133"/>
      <c r="L274" s="133"/>
      <c r="M274" s="133"/>
      <c r="N274" s="134" t="s">
        <v>687</v>
      </c>
      <c r="O274" s="134"/>
      <c r="P274" s="134" t="s">
        <v>699</v>
      </c>
      <c r="Q274" s="134"/>
      <c r="R274" s="134"/>
      <c r="S274" s="134"/>
      <c r="T274" s="135">
        <v>3021040377</v>
      </c>
      <c r="U274" s="135"/>
      <c r="V274" s="136" t="s">
        <v>622</v>
      </c>
      <c r="W274" s="136"/>
      <c r="X274" s="129">
        <v>4500</v>
      </c>
      <c r="Y274" s="129"/>
      <c r="Z274" s="129">
        <v>4091</v>
      </c>
      <c r="AA274" s="129"/>
      <c r="AB274" s="129"/>
      <c r="AC274" s="129"/>
      <c r="AD274" s="129">
        <v>409</v>
      </c>
      <c r="AE274" s="129"/>
      <c r="AF274" s="129"/>
      <c r="AG274" s="129"/>
      <c r="AH274" s="129"/>
      <c r="AI274" s="129">
        <v>0</v>
      </c>
      <c r="AJ274" s="129"/>
      <c r="AK274" s="129"/>
    </row>
    <row r="275" spans="3:37" ht="14.85" customHeight="1" x14ac:dyDescent="0.15">
      <c r="C275" s="132">
        <v>44369</v>
      </c>
      <c r="D275" s="132"/>
      <c r="E275" s="132">
        <v>44370</v>
      </c>
      <c r="F275" s="132"/>
      <c r="G275" s="132"/>
      <c r="H275" s="132"/>
      <c r="I275" s="133" t="s">
        <v>621</v>
      </c>
      <c r="J275" s="133"/>
      <c r="K275" s="133"/>
      <c r="L275" s="133"/>
      <c r="M275" s="133"/>
      <c r="N275" s="134" t="s">
        <v>687</v>
      </c>
      <c r="O275" s="134"/>
      <c r="P275" s="134" t="s">
        <v>694</v>
      </c>
      <c r="Q275" s="134"/>
      <c r="R275" s="134"/>
      <c r="S275" s="134"/>
      <c r="T275" s="135">
        <v>1310434836</v>
      </c>
      <c r="U275" s="135"/>
      <c r="V275" s="136" t="s">
        <v>618</v>
      </c>
      <c r="W275" s="136"/>
      <c r="X275" s="129">
        <v>4500</v>
      </c>
      <c r="Y275" s="129"/>
      <c r="Z275" s="129">
        <v>4091</v>
      </c>
      <c r="AA275" s="129"/>
      <c r="AB275" s="129"/>
      <c r="AC275" s="129"/>
      <c r="AD275" s="129">
        <v>409</v>
      </c>
      <c r="AE275" s="129"/>
      <c r="AF275" s="129"/>
      <c r="AG275" s="129"/>
      <c r="AH275" s="129"/>
      <c r="AI275" s="129">
        <v>0</v>
      </c>
      <c r="AJ275" s="129"/>
      <c r="AK275" s="129"/>
    </row>
    <row r="276" spans="3:37" ht="14.85" customHeight="1" x14ac:dyDescent="0.15">
      <c r="C276" s="132">
        <v>44370</v>
      </c>
      <c r="D276" s="132"/>
      <c r="E276" s="132">
        <v>44371</v>
      </c>
      <c r="F276" s="132"/>
      <c r="G276" s="132"/>
      <c r="H276" s="132"/>
      <c r="I276" s="133" t="s">
        <v>621</v>
      </c>
      <c r="J276" s="133"/>
      <c r="K276" s="133"/>
      <c r="L276" s="133"/>
      <c r="M276" s="133"/>
      <c r="N276" s="134" t="s">
        <v>687</v>
      </c>
      <c r="O276" s="134"/>
      <c r="P276" s="134" t="s">
        <v>645</v>
      </c>
      <c r="Q276" s="134"/>
      <c r="R276" s="134"/>
      <c r="S276" s="134"/>
      <c r="T276" s="135">
        <v>1310578433</v>
      </c>
      <c r="U276" s="135"/>
      <c r="V276" s="136" t="s">
        <v>644</v>
      </c>
      <c r="W276" s="136"/>
      <c r="X276" s="129">
        <v>15000</v>
      </c>
      <c r="Y276" s="129"/>
      <c r="Z276" s="129">
        <v>13637</v>
      </c>
      <c r="AA276" s="129"/>
      <c r="AB276" s="129"/>
      <c r="AC276" s="129"/>
      <c r="AD276" s="129">
        <v>1363</v>
      </c>
      <c r="AE276" s="129"/>
      <c r="AF276" s="129"/>
      <c r="AG276" s="129"/>
      <c r="AH276" s="129"/>
      <c r="AI276" s="129">
        <v>0</v>
      </c>
      <c r="AJ276" s="129"/>
      <c r="AK276" s="129"/>
    </row>
    <row r="277" spans="3:37" ht="14.85" customHeight="1" x14ac:dyDescent="0.15">
      <c r="C277" s="132">
        <v>44370</v>
      </c>
      <c r="D277" s="132"/>
      <c r="E277" s="132">
        <v>44371</v>
      </c>
      <c r="F277" s="132"/>
      <c r="G277" s="132"/>
      <c r="H277" s="132"/>
      <c r="I277" s="133" t="s">
        <v>621</v>
      </c>
      <c r="J277" s="133"/>
      <c r="K277" s="133"/>
      <c r="L277" s="133"/>
      <c r="M277" s="133"/>
      <c r="N277" s="134" t="s">
        <v>687</v>
      </c>
      <c r="O277" s="134"/>
      <c r="P277" s="134" t="s">
        <v>732</v>
      </c>
      <c r="Q277" s="134"/>
      <c r="R277" s="134"/>
      <c r="S277" s="134"/>
      <c r="T277" s="135">
        <v>7872300450</v>
      </c>
      <c r="U277" s="135"/>
      <c r="V277" s="136" t="s">
        <v>622</v>
      </c>
      <c r="W277" s="136"/>
      <c r="X277" s="129">
        <v>4500</v>
      </c>
      <c r="Y277" s="129"/>
      <c r="Z277" s="129">
        <v>4091</v>
      </c>
      <c r="AA277" s="129"/>
      <c r="AB277" s="129"/>
      <c r="AC277" s="129"/>
      <c r="AD277" s="129">
        <v>409</v>
      </c>
      <c r="AE277" s="129"/>
      <c r="AF277" s="129"/>
      <c r="AG277" s="129"/>
      <c r="AH277" s="129"/>
      <c r="AI277" s="129">
        <v>0</v>
      </c>
      <c r="AJ277" s="129"/>
      <c r="AK277" s="129"/>
    </row>
    <row r="278" spans="3:37" ht="14.85" customHeight="1" x14ac:dyDescent="0.15">
      <c r="C278" s="132">
        <v>44371</v>
      </c>
      <c r="D278" s="132"/>
      <c r="E278" s="132">
        <v>44372</v>
      </c>
      <c r="F278" s="132"/>
      <c r="G278" s="132"/>
      <c r="H278" s="132"/>
      <c r="I278" s="133" t="s">
        <v>621</v>
      </c>
      <c r="J278" s="133"/>
      <c r="K278" s="133"/>
      <c r="L278" s="133"/>
      <c r="M278" s="133"/>
      <c r="N278" s="134" t="s">
        <v>687</v>
      </c>
      <c r="O278" s="134"/>
      <c r="P278" s="134" t="s">
        <v>748</v>
      </c>
      <c r="Q278" s="134"/>
      <c r="R278" s="134"/>
      <c r="S278" s="134"/>
      <c r="T278" s="135">
        <v>1310805678</v>
      </c>
      <c r="U278" s="135"/>
      <c r="V278" s="136" t="s">
        <v>618</v>
      </c>
      <c r="W278" s="136"/>
      <c r="X278" s="129">
        <v>7000</v>
      </c>
      <c r="Y278" s="129"/>
      <c r="Z278" s="129">
        <v>7000</v>
      </c>
      <c r="AA278" s="129"/>
      <c r="AB278" s="129"/>
      <c r="AC278" s="129"/>
      <c r="AD278" s="129">
        <v>0</v>
      </c>
      <c r="AE278" s="129"/>
      <c r="AF278" s="129"/>
      <c r="AG278" s="129"/>
      <c r="AH278" s="129"/>
      <c r="AI278" s="129">
        <v>0</v>
      </c>
      <c r="AJ278" s="129"/>
      <c r="AK278" s="129"/>
    </row>
    <row r="279" spans="3:37" ht="14.85" customHeight="1" x14ac:dyDescent="0.15">
      <c r="C279" s="132">
        <v>44372</v>
      </c>
      <c r="D279" s="132"/>
      <c r="E279" s="132">
        <v>44373</v>
      </c>
      <c r="F279" s="132"/>
      <c r="G279" s="132"/>
      <c r="H279" s="132"/>
      <c r="I279" s="133" t="s">
        <v>621</v>
      </c>
      <c r="J279" s="133"/>
      <c r="K279" s="133"/>
      <c r="L279" s="133"/>
      <c r="M279" s="133"/>
      <c r="N279" s="134" t="s">
        <v>687</v>
      </c>
      <c r="O279" s="134"/>
      <c r="P279" s="134" t="s">
        <v>699</v>
      </c>
      <c r="Q279" s="134"/>
      <c r="R279" s="134"/>
      <c r="S279" s="134"/>
      <c r="T279" s="135">
        <v>3021040377</v>
      </c>
      <c r="U279" s="135"/>
      <c r="V279" s="136" t="s">
        <v>622</v>
      </c>
      <c r="W279" s="136"/>
      <c r="X279" s="129">
        <v>4500</v>
      </c>
      <c r="Y279" s="129"/>
      <c r="Z279" s="129">
        <v>4091</v>
      </c>
      <c r="AA279" s="129"/>
      <c r="AB279" s="129"/>
      <c r="AC279" s="129"/>
      <c r="AD279" s="129">
        <v>409</v>
      </c>
      <c r="AE279" s="129"/>
      <c r="AF279" s="129"/>
      <c r="AG279" s="129"/>
      <c r="AH279" s="129"/>
      <c r="AI279" s="129">
        <v>0</v>
      </c>
      <c r="AJ279" s="129"/>
      <c r="AK279" s="129"/>
    </row>
    <row r="280" spans="3:37" ht="14.85" customHeight="1" x14ac:dyDescent="0.15">
      <c r="C280" s="132">
        <v>44373</v>
      </c>
      <c r="D280" s="132"/>
      <c r="E280" s="132">
        <v>44374</v>
      </c>
      <c r="F280" s="132"/>
      <c r="G280" s="132"/>
      <c r="H280" s="132"/>
      <c r="I280" s="133" t="s">
        <v>621</v>
      </c>
      <c r="J280" s="133"/>
      <c r="K280" s="133"/>
      <c r="L280" s="133"/>
      <c r="M280" s="133"/>
      <c r="N280" s="134" t="s">
        <v>687</v>
      </c>
      <c r="O280" s="134"/>
      <c r="P280" s="134" t="s">
        <v>697</v>
      </c>
      <c r="Q280" s="134"/>
      <c r="R280" s="134"/>
      <c r="S280" s="134"/>
      <c r="T280" s="135">
        <v>5990701264</v>
      </c>
      <c r="U280" s="135"/>
      <c r="V280" s="136" t="s">
        <v>622</v>
      </c>
      <c r="W280" s="136"/>
      <c r="X280" s="129">
        <v>6500</v>
      </c>
      <c r="Y280" s="129"/>
      <c r="Z280" s="129">
        <v>5909</v>
      </c>
      <c r="AA280" s="129"/>
      <c r="AB280" s="129"/>
      <c r="AC280" s="129"/>
      <c r="AD280" s="129">
        <v>591</v>
      </c>
      <c r="AE280" s="129"/>
      <c r="AF280" s="129"/>
      <c r="AG280" s="129"/>
      <c r="AH280" s="129"/>
      <c r="AI280" s="129">
        <v>0</v>
      </c>
      <c r="AJ280" s="129"/>
      <c r="AK280" s="129"/>
    </row>
    <row r="281" spans="3:37" ht="14.85" customHeight="1" x14ac:dyDescent="0.15">
      <c r="C281" s="132">
        <v>44373</v>
      </c>
      <c r="D281" s="132"/>
      <c r="E281" s="132">
        <v>44374</v>
      </c>
      <c r="F281" s="132"/>
      <c r="G281" s="132"/>
      <c r="H281" s="132"/>
      <c r="I281" s="133" t="s">
        <v>621</v>
      </c>
      <c r="J281" s="133"/>
      <c r="K281" s="133"/>
      <c r="L281" s="133"/>
      <c r="M281" s="133"/>
      <c r="N281" s="134" t="s">
        <v>687</v>
      </c>
      <c r="O281" s="134"/>
      <c r="P281" s="134" t="s">
        <v>694</v>
      </c>
      <c r="Q281" s="134"/>
      <c r="R281" s="134"/>
      <c r="S281" s="134"/>
      <c r="T281" s="135">
        <v>1310434836</v>
      </c>
      <c r="U281" s="135"/>
      <c r="V281" s="136" t="s">
        <v>618</v>
      </c>
      <c r="W281" s="136"/>
      <c r="X281" s="129">
        <v>4500</v>
      </c>
      <c r="Y281" s="129"/>
      <c r="Z281" s="129">
        <v>4091</v>
      </c>
      <c r="AA281" s="129"/>
      <c r="AB281" s="129"/>
      <c r="AC281" s="129"/>
      <c r="AD281" s="129">
        <v>409</v>
      </c>
      <c r="AE281" s="129"/>
      <c r="AF281" s="129"/>
      <c r="AG281" s="129"/>
      <c r="AH281" s="129"/>
      <c r="AI281" s="129">
        <v>0</v>
      </c>
      <c r="AJ281" s="129"/>
      <c r="AK281" s="129"/>
    </row>
    <row r="282" spans="3:37" ht="14.85" customHeight="1" x14ac:dyDescent="0.15">
      <c r="C282" s="132">
        <v>44374</v>
      </c>
      <c r="D282" s="132"/>
      <c r="E282" s="132">
        <v>44375</v>
      </c>
      <c r="F282" s="132"/>
      <c r="G282" s="132"/>
      <c r="H282" s="132"/>
      <c r="I282" s="133" t="s">
        <v>621</v>
      </c>
      <c r="J282" s="133"/>
      <c r="K282" s="133"/>
      <c r="L282" s="133"/>
      <c r="M282" s="133"/>
      <c r="N282" s="134" t="s">
        <v>687</v>
      </c>
      <c r="O282" s="134"/>
      <c r="P282" s="134" t="s">
        <v>673</v>
      </c>
      <c r="Q282" s="134"/>
      <c r="R282" s="134"/>
      <c r="S282" s="134"/>
      <c r="T282" s="135">
        <v>1318553360</v>
      </c>
      <c r="U282" s="135"/>
      <c r="V282" s="136" t="s">
        <v>618</v>
      </c>
      <c r="W282" s="136"/>
      <c r="X282" s="129">
        <v>9730</v>
      </c>
      <c r="Y282" s="129"/>
      <c r="Z282" s="129">
        <v>9025</v>
      </c>
      <c r="AA282" s="129"/>
      <c r="AB282" s="129"/>
      <c r="AC282" s="129"/>
      <c r="AD282" s="129">
        <v>705</v>
      </c>
      <c r="AE282" s="129"/>
      <c r="AF282" s="129"/>
      <c r="AG282" s="129"/>
      <c r="AH282" s="129"/>
      <c r="AI282" s="129">
        <v>0</v>
      </c>
      <c r="AJ282" s="129"/>
      <c r="AK282" s="129"/>
    </row>
    <row r="283" spans="3:37" ht="14.85" customHeight="1" x14ac:dyDescent="0.15">
      <c r="C283" s="132">
        <v>44374</v>
      </c>
      <c r="D283" s="132"/>
      <c r="E283" s="132">
        <v>44375</v>
      </c>
      <c r="F283" s="132"/>
      <c r="G283" s="132"/>
      <c r="H283" s="132"/>
      <c r="I283" s="133" t="s">
        <v>621</v>
      </c>
      <c r="J283" s="133"/>
      <c r="K283" s="133"/>
      <c r="L283" s="133"/>
      <c r="M283" s="133"/>
      <c r="N283" s="134" t="s">
        <v>687</v>
      </c>
      <c r="O283" s="134"/>
      <c r="P283" s="134" t="s">
        <v>694</v>
      </c>
      <c r="Q283" s="134"/>
      <c r="R283" s="134"/>
      <c r="S283" s="134"/>
      <c r="T283" s="135">
        <v>1310434836</v>
      </c>
      <c r="U283" s="135"/>
      <c r="V283" s="136" t="s">
        <v>618</v>
      </c>
      <c r="W283" s="136"/>
      <c r="X283" s="129">
        <v>4500</v>
      </c>
      <c r="Y283" s="129"/>
      <c r="Z283" s="129">
        <v>4091</v>
      </c>
      <c r="AA283" s="129"/>
      <c r="AB283" s="129"/>
      <c r="AC283" s="129"/>
      <c r="AD283" s="129">
        <v>409</v>
      </c>
      <c r="AE283" s="129"/>
      <c r="AF283" s="129"/>
      <c r="AG283" s="129"/>
      <c r="AH283" s="129"/>
      <c r="AI283" s="129">
        <v>0</v>
      </c>
      <c r="AJ283" s="129"/>
      <c r="AK283" s="129"/>
    </row>
    <row r="284" spans="3:37" ht="14.85" customHeight="1" x14ac:dyDescent="0.15">
      <c r="C284" s="132">
        <v>44375</v>
      </c>
      <c r="D284" s="132"/>
      <c r="E284" s="132">
        <v>44377</v>
      </c>
      <c r="F284" s="132"/>
      <c r="G284" s="132"/>
      <c r="H284" s="132"/>
      <c r="I284" s="133" t="s">
        <v>621</v>
      </c>
      <c r="J284" s="133"/>
      <c r="K284" s="133"/>
      <c r="L284" s="133"/>
      <c r="M284" s="133"/>
      <c r="N284" s="134" t="s">
        <v>687</v>
      </c>
      <c r="O284" s="134"/>
      <c r="P284" s="134" t="s">
        <v>692</v>
      </c>
      <c r="Q284" s="134"/>
      <c r="R284" s="134"/>
      <c r="S284" s="134"/>
      <c r="T284" s="135">
        <v>5304900441</v>
      </c>
      <c r="U284" s="135"/>
      <c r="V284" s="136" t="s">
        <v>618</v>
      </c>
      <c r="W284" s="136"/>
      <c r="X284" s="129">
        <v>4500</v>
      </c>
      <c r="Y284" s="129"/>
      <c r="Z284" s="129">
        <v>4091</v>
      </c>
      <c r="AA284" s="129"/>
      <c r="AB284" s="129"/>
      <c r="AC284" s="129"/>
      <c r="AD284" s="129">
        <v>409</v>
      </c>
      <c r="AE284" s="129"/>
      <c r="AF284" s="129"/>
      <c r="AG284" s="129"/>
      <c r="AH284" s="129"/>
      <c r="AI284" s="129">
        <v>0</v>
      </c>
      <c r="AJ284" s="129"/>
      <c r="AK284" s="129"/>
    </row>
    <row r="285" spans="3:37" ht="14.85" customHeight="1" x14ac:dyDescent="0.15">
      <c r="C285" s="132">
        <v>44376</v>
      </c>
      <c r="D285" s="132"/>
      <c r="E285" s="132">
        <v>44377</v>
      </c>
      <c r="F285" s="132"/>
      <c r="G285" s="132"/>
      <c r="H285" s="132"/>
      <c r="I285" s="133" t="s">
        <v>621</v>
      </c>
      <c r="J285" s="133"/>
      <c r="K285" s="133"/>
      <c r="L285" s="133"/>
      <c r="M285" s="133"/>
      <c r="N285" s="134" t="s">
        <v>687</v>
      </c>
      <c r="O285" s="134"/>
      <c r="P285" s="134" t="s">
        <v>753</v>
      </c>
      <c r="Q285" s="134"/>
      <c r="R285" s="134"/>
      <c r="S285" s="134"/>
      <c r="T285" s="135">
        <v>2178114493</v>
      </c>
      <c r="U285" s="135"/>
      <c r="V285" s="136" t="s">
        <v>618</v>
      </c>
      <c r="W285" s="136"/>
      <c r="X285" s="129">
        <v>55500</v>
      </c>
      <c r="Y285" s="129"/>
      <c r="Z285" s="129">
        <v>50455</v>
      </c>
      <c r="AA285" s="129"/>
      <c r="AB285" s="129"/>
      <c r="AC285" s="129"/>
      <c r="AD285" s="129">
        <v>5045</v>
      </c>
      <c r="AE285" s="129"/>
      <c r="AF285" s="129"/>
      <c r="AG285" s="129"/>
      <c r="AH285" s="129"/>
      <c r="AI285" s="129">
        <v>0</v>
      </c>
      <c r="AJ285" s="129"/>
      <c r="AK285" s="129"/>
    </row>
    <row r="286" spans="3:37" ht="14.85" customHeight="1" x14ac:dyDescent="0.15">
      <c r="C286" s="132">
        <v>44376</v>
      </c>
      <c r="D286" s="132"/>
      <c r="E286" s="132">
        <v>44378</v>
      </c>
      <c r="F286" s="132"/>
      <c r="G286" s="132"/>
      <c r="H286" s="132"/>
      <c r="I286" s="133" t="s">
        <v>621</v>
      </c>
      <c r="J286" s="133"/>
      <c r="K286" s="133"/>
      <c r="L286" s="133"/>
      <c r="M286" s="133"/>
      <c r="N286" s="134" t="s">
        <v>687</v>
      </c>
      <c r="O286" s="134"/>
      <c r="P286" s="134" t="s">
        <v>692</v>
      </c>
      <c r="Q286" s="134"/>
      <c r="R286" s="134"/>
      <c r="S286" s="134"/>
      <c r="T286" s="135">
        <v>5304900441</v>
      </c>
      <c r="U286" s="135"/>
      <c r="V286" s="136" t="s">
        <v>618</v>
      </c>
      <c r="W286" s="136"/>
      <c r="X286" s="129">
        <v>4500</v>
      </c>
      <c r="Y286" s="129"/>
      <c r="Z286" s="129">
        <v>4091</v>
      </c>
      <c r="AA286" s="129"/>
      <c r="AB286" s="129"/>
      <c r="AC286" s="129"/>
      <c r="AD286" s="129">
        <v>409</v>
      </c>
      <c r="AE286" s="129"/>
      <c r="AF286" s="129"/>
      <c r="AG286" s="129"/>
      <c r="AH286" s="129"/>
      <c r="AI286" s="129">
        <v>0</v>
      </c>
      <c r="AJ286" s="129"/>
      <c r="AK286" s="129"/>
    </row>
    <row r="287" spans="3:37" ht="14.85" customHeight="1" x14ac:dyDescent="0.15">
      <c r="C287" s="132">
        <v>44377</v>
      </c>
      <c r="D287" s="132"/>
      <c r="E287" s="132">
        <v>44378</v>
      </c>
      <c r="F287" s="132"/>
      <c r="G287" s="132"/>
      <c r="H287" s="132"/>
      <c r="I287" s="133" t="s">
        <v>621</v>
      </c>
      <c r="J287" s="133"/>
      <c r="K287" s="133"/>
      <c r="L287" s="133"/>
      <c r="M287" s="133"/>
      <c r="N287" s="134" t="s">
        <v>687</v>
      </c>
      <c r="O287" s="134"/>
      <c r="P287" s="134" t="s">
        <v>694</v>
      </c>
      <c r="Q287" s="134"/>
      <c r="R287" s="134"/>
      <c r="S287" s="134"/>
      <c r="T287" s="135">
        <v>1310434836</v>
      </c>
      <c r="U287" s="135"/>
      <c r="V287" s="136" t="s">
        <v>618</v>
      </c>
      <c r="W287" s="136"/>
      <c r="X287" s="129">
        <v>4500</v>
      </c>
      <c r="Y287" s="129"/>
      <c r="Z287" s="129">
        <v>4091</v>
      </c>
      <c r="AA287" s="129"/>
      <c r="AB287" s="129"/>
      <c r="AC287" s="129"/>
      <c r="AD287" s="129">
        <v>409</v>
      </c>
      <c r="AE287" s="129"/>
      <c r="AF287" s="129"/>
      <c r="AG287" s="129"/>
      <c r="AH287" s="129"/>
      <c r="AI287" s="129">
        <v>0</v>
      </c>
      <c r="AJ287" s="129"/>
      <c r="AK287" s="129"/>
    </row>
    <row r="288" spans="3:37" ht="14.85" customHeight="1" x14ac:dyDescent="0.15">
      <c r="C288" s="132">
        <v>44378</v>
      </c>
      <c r="D288" s="132"/>
      <c r="E288" s="132">
        <v>44379</v>
      </c>
      <c r="F288" s="132"/>
      <c r="G288" s="132"/>
      <c r="H288" s="132"/>
      <c r="I288" s="133" t="s">
        <v>621</v>
      </c>
      <c r="J288" s="133"/>
      <c r="K288" s="133"/>
      <c r="L288" s="133"/>
      <c r="M288" s="133"/>
      <c r="N288" s="134" t="s">
        <v>687</v>
      </c>
      <c r="O288" s="134"/>
      <c r="P288" s="134" t="s">
        <v>651</v>
      </c>
      <c r="Q288" s="134"/>
      <c r="R288" s="134"/>
      <c r="S288" s="134"/>
      <c r="T288" s="135">
        <v>1211666348</v>
      </c>
      <c r="U288" s="135"/>
      <c r="V288" s="136" t="s">
        <v>622</v>
      </c>
      <c r="W288" s="136"/>
      <c r="X288" s="129">
        <v>36000</v>
      </c>
      <c r="Y288" s="129"/>
      <c r="Z288" s="129">
        <v>32727</v>
      </c>
      <c r="AA288" s="129"/>
      <c r="AB288" s="129"/>
      <c r="AC288" s="129"/>
      <c r="AD288" s="129">
        <v>3273</v>
      </c>
      <c r="AE288" s="129"/>
      <c r="AF288" s="129"/>
      <c r="AG288" s="129"/>
      <c r="AH288" s="129"/>
      <c r="AI288" s="129">
        <v>0</v>
      </c>
      <c r="AJ288" s="129"/>
      <c r="AK288" s="129"/>
    </row>
    <row r="289" spans="3:37" ht="14.85" customHeight="1" x14ac:dyDescent="0.15">
      <c r="C289" s="132">
        <v>44378</v>
      </c>
      <c r="D289" s="132"/>
      <c r="E289" s="132">
        <v>44379</v>
      </c>
      <c r="F289" s="132"/>
      <c r="G289" s="132"/>
      <c r="H289" s="132"/>
      <c r="I289" s="133" t="s">
        <v>621</v>
      </c>
      <c r="J289" s="133"/>
      <c r="K289" s="133"/>
      <c r="L289" s="133"/>
      <c r="M289" s="133"/>
      <c r="N289" s="134" t="s">
        <v>687</v>
      </c>
      <c r="O289" s="134"/>
      <c r="P289" s="134" t="s">
        <v>655</v>
      </c>
      <c r="Q289" s="134"/>
      <c r="R289" s="134"/>
      <c r="S289" s="134"/>
      <c r="T289" s="135">
        <v>7521100257</v>
      </c>
      <c r="U289" s="135"/>
      <c r="V289" s="136" t="s">
        <v>618</v>
      </c>
      <c r="W289" s="136"/>
      <c r="X289" s="129">
        <v>35300</v>
      </c>
      <c r="Y289" s="129"/>
      <c r="Z289" s="129">
        <v>32091</v>
      </c>
      <c r="AA289" s="129"/>
      <c r="AB289" s="129"/>
      <c r="AC289" s="129"/>
      <c r="AD289" s="129">
        <v>3209</v>
      </c>
      <c r="AE289" s="129"/>
      <c r="AF289" s="129"/>
      <c r="AG289" s="129"/>
      <c r="AH289" s="129"/>
      <c r="AI289" s="129">
        <v>0</v>
      </c>
      <c r="AJ289" s="129"/>
      <c r="AK289" s="129"/>
    </row>
    <row r="290" spans="3:37" ht="14.85" customHeight="1" x14ac:dyDescent="0.15">
      <c r="C290" s="132">
        <v>44347</v>
      </c>
      <c r="D290" s="132"/>
      <c r="E290" s="132">
        <v>44379</v>
      </c>
      <c r="F290" s="132"/>
      <c r="G290" s="132"/>
      <c r="H290" s="132"/>
      <c r="I290" s="133" t="s">
        <v>621</v>
      </c>
      <c r="J290" s="133"/>
      <c r="K290" s="133"/>
      <c r="L290" s="133"/>
      <c r="M290" s="133"/>
      <c r="N290" s="134" t="s">
        <v>620</v>
      </c>
      <c r="O290" s="134"/>
      <c r="P290" s="134" t="s">
        <v>640</v>
      </c>
      <c r="Q290" s="134"/>
      <c r="R290" s="134"/>
      <c r="S290" s="134"/>
      <c r="T290" s="135">
        <v>2028148079</v>
      </c>
      <c r="U290" s="135"/>
      <c r="V290" s="136" t="s">
        <v>618</v>
      </c>
      <c r="W290" s="136"/>
      <c r="X290" s="129">
        <v>200</v>
      </c>
      <c r="Y290" s="129"/>
      <c r="Z290" s="129">
        <v>200</v>
      </c>
      <c r="AA290" s="129"/>
      <c r="AB290" s="129"/>
      <c r="AC290" s="129"/>
      <c r="AD290" s="129">
        <v>0</v>
      </c>
      <c r="AE290" s="129"/>
      <c r="AF290" s="129"/>
      <c r="AG290" s="129"/>
      <c r="AH290" s="129"/>
      <c r="AI290" s="129">
        <v>0</v>
      </c>
      <c r="AJ290" s="129"/>
      <c r="AK290" s="129"/>
    </row>
    <row r="291" spans="3:37" ht="14.85" customHeight="1" x14ac:dyDescent="0.15">
      <c r="C291" s="132">
        <v>44379</v>
      </c>
      <c r="D291" s="132"/>
      <c r="E291" s="132">
        <v>44380</v>
      </c>
      <c r="F291" s="132"/>
      <c r="G291" s="132"/>
      <c r="H291" s="132"/>
      <c r="I291" s="133" t="s">
        <v>621</v>
      </c>
      <c r="J291" s="133"/>
      <c r="K291" s="133"/>
      <c r="L291" s="133"/>
      <c r="M291" s="133"/>
      <c r="N291" s="134" t="s">
        <v>687</v>
      </c>
      <c r="O291" s="134"/>
      <c r="P291" s="134" t="s">
        <v>699</v>
      </c>
      <c r="Q291" s="134"/>
      <c r="R291" s="134"/>
      <c r="S291" s="134"/>
      <c r="T291" s="135">
        <v>3021040377</v>
      </c>
      <c r="U291" s="135"/>
      <c r="V291" s="136" t="s">
        <v>622</v>
      </c>
      <c r="W291" s="136"/>
      <c r="X291" s="129">
        <v>4500</v>
      </c>
      <c r="Y291" s="129"/>
      <c r="Z291" s="129">
        <v>4091</v>
      </c>
      <c r="AA291" s="129"/>
      <c r="AB291" s="129"/>
      <c r="AC291" s="129"/>
      <c r="AD291" s="129">
        <v>409</v>
      </c>
      <c r="AE291" s="129"/>
      <c r="AF291" s="129"/>
      <c r="AG291" s="129"/>
      <c r="AH291" s="129"/>
      <c r="AI291" s="129">
        <v>0</v>
      </c>
      <c r="AJ291" s="129"/>
      <c r="AK291" s="129"/>
    </row>
    <row r="292" spans="3:37" ht="14.85" customHeight="1" x14ac:dyDescent="0.15">
      <c r="C292" s="132">
        <v>44380</v>
      </c>
      <c r="D292" s="132"/>
      <c r="E292" s="132">
        <v>44381</v>
      </c>
      <c r="F292" s="132"/>
      <c r="G292" s="132"/>
      <c r="H292" s="132"/>
      <c r="I292" s="133" t="s">
        <v>621</v>
      </c>
      <c r="J292" s="133"/>
      <c r="K292" s="133"/>
      <c r="L292" s="133"/>
      <c r="M292" s="133"/>
      <c r="N292" s="134" t="s">
        <v>687</v>
      </c>
      <c r="O292" s="134"/>
      <c r="P292" s="134" t="s">
        <v>694</v>
      </c>
      <c r="Q292" s="134"/>
      <c r="R292" s="134"/>
      <c r="S292" s="134"/>
      <c r="T292" s="135">
        <v>1310434836</v>
      </c>
      <c r="U292" s="135"/>
      <c r="V292" s="136" t="s">
        <v>618</v>
      </c>
      <c r="W292" s="136"/>
      <c r="X292" s="129">
        <v>4500</v>
      </c>
      <c r="Y292" s="129"/>
      <c r="Z292" s="129">
        <v>4091</v>
      </c>
      <c r="AA292" s="129"/>
      <c r="AB292" s="129"/>
      <c r="AC292" s="129"/>
      <c r="AD292" s="129">
        <v>409</v>
      </c>
      <c r="AE292" s="129"/>
      <c r="AF292" s="129"/>
      <c r="AG292" s="129"/>
      <c r="AH292" s="129"/>
      <c r="AI292" s="129">
        <v>0</v>
      </c>
      <c r="AJ292" s="129"/>
      <c r="AK292" s="129"/>
    </row>
    <row r="293" spans="3:37" ht="14.85" customHeight="1" x14ac:dyDescent="0.15">
      <c r="C293" s="132">
        <v>44381</v>
      </c>
      <c r="D293" s="132"/>
      <c r="E293" s="132">
        <v>44382</v>
      </c>
      <c r="F293" s="132"/>
      <c r="G293" s="132"/>
      <c r="H293" s="132"/>
      <c r="I293" s="133" t="s">
        <v>621</v>
      </c>
      <c r="J293" s="133"/>
      <c r="K293" s="133"/>
      <c r="L293" s="133"/>
      <c r="M293" s="133"/>
      <c r="N293" s="134" t="s">
        <v>687</v>
      </c>
      <c r="O293" s="134"/>
      <c r="P293" s="134" t="s">
        <v>694</v>
      </c>
      <c r="Q293" s="134"/>
      <c r="R293" s="134"/>
      <c r="S293" s="134"/>
      <c r="T293" s="135">
        <v>1310434836</v>
      </c>
      <c r="U293" s="135"/>
      <c r="V293" s="136" t="s">
        <v>618</v>
      </c>
      <c r="W293" s="136"/>
      <c r="X293" s="129">
        <v>4500</v>
      </c>
      <c r="Y293" s="129"/>
      <c r="Z293" s="129">
        <v>4091</v>
      </c>
      <c r="AA293" s="129"/>
      <c r="AB293" s="129"/>
      <c r="AC293" s="129"/>
      <c r="AD293" s="129">
        <v>409</v>
      </c>
      <c r="AE293" s="129"/>
      <c r="AF293" s="129"/>
      <c r="AG293" s="129"/>
      <c r="AH293" s="129"/>
      <c r="AI293" s="129">
        <v>0</v>
      </c>
      <c r="AJ293" s="129"/>
      <c r="AK293" s="129"/>
    </row>
    <row r="294" spans="3:37" ht="14.85" customHeight="1" x14ac:dyDescent="0.15">
      <c r="C294" s="132">
        <v>44382</v>
      </c>
      <c r="D294" s="132"/>
      <c r="E294" s="132">
        <v>44383</v>
      </c>
      <c r="F294" s="132"/>
      <c r="G294" s="132"/>
      <c r="H294" s="132"/>
      <c r="I294" s="133" t="s">
        <v>621</v>
      </c>
      <c r="J294" s="133"/>
      <c r="K294" s="133"/>
      <c r="L294" s="133"/>
      <c r="M294" s="133"/>
      <c r="N294" s="134" t="s">
        <v>687</v>
      </c>
      <c r="O294" s="134"/>
      <c r="P294" s="134" t="s">
        <v>730</v>
      </c>
      <c r="Q294" s="134"/>
      <c r="R294" s="134"/>
      <c r="S294" s="134"/>
      <c r="T294" s="135">
        <v>1312942571</v>
      </c>
      <c r="U294" s="135"/>
      <c r="V294" s="136" t="s">
        <v>618</v>
      </c>
      <c r="W294" s="136"/>
      <c r="X294" s="129">
        <v>24000</v>
      </c>
      <c r="Y294" s="129"/>
      <c r="Z294" s="129">
        <v>21819</v>
      </c>
      <c r="AA294" s="129"/>
      <c r="AB294" s="129"/>
      <c r="AC294" s="129"/>
      <c r="AD294" s="129">
        <v>2181</v>
      </c>
      <c r="AE294" s="129"/>
      <c r="AF294" s="129"/>
      <c r="AG294" s="129"/>
      <c r="AH294" s="129"/>
      <c r="AI294" s="129">
        <v>0</v>
      </c>
      <c r="AJ294" s="129"/>
      <c r="AK294" s="129"/>
    </row>
    <row r="295" spans="3:37" ht="14.85" customHeight="1" x14ac:dyDescent="0.15">
      <c r="C295" s="132">
        <v>44382</v>
      </c>
      <c r="D295" s="132"/>
      <c r="E295" s="132">
        <v>44383</v>
      </c>
      <c r="F295" s="132"/>
      <c r="G295" s="132"/>
      <c r="H295" s="132"/>
      <c r="I295" s="133" t="s">
        <v>621</v>
      </c>
      <c r="J295" s="133"/>
      <c r="K295" s="133"/>
      <c r="L295" s="133"/>
      <c r="M295" s="133"/>
      <c r="N295" s="134" t="s">
        <v>687</v>
      </c>
      <c r="O295" s="134"/>
      <c r="P295" s="134" t="s">
        <v>694</v>
      </c>
      <c r="Q295" s="134"/>
      <c r="R295" s="134"/>
      <c r="S295" s="134"/>
      <c r="T295" s="135">
        <v>1310434836</v>
      </c>
      <c r="U295" s="135"/>
      <c r="V295" s="136" t="s">
        <v>618</v>
      </c>
      <c r="W295" s="136"/>
      <c r="X295" s="129">
        <v>4500</v>
      </c>
      <c r="Y295" s="129"/>
      <c r="Z295" s="129">
        <v>4091</v>
      </c>
      <c r="AA295" s="129"/>
      <c r="AB295" s="129"/>
      <c r="AC295" s="129"/>
      <c r="AD295" s="129">
        <v>409</v>
      </c>
      <c r="AE295" s="129"/>
      <c r="AF295" s="129"/>
      <c r="AG295" s="129"/>
      <c r="AH295" s="129"/>
      <c r="AI295" s="129">
        <v>0</v>
      </c>
      <c r="AJ295" s="129"/>
      <c r="AK295" s="129"/>
    </row>
    <row r="296" spans="3:37" ht="14.85" customHeight="1" x14ac:dyDescent="0.15">
      <c r="C296" s="132">
        <v>44383</v>
      </c>
      <c r="D296" s="132"/>
      <c r="E296" s="132">
        <v>44384</v>
      </c>
      <c r="F296" s="132"/>
      <c r="G296" s="132"/>
      <c r="H296" s="132"/>
      <c r="I296" s="133" t="s">
        <v>621</v>
      </c>
      <c r="J296" s="133"/>
      <c r="K296" s="133"/>
      <c r="L296" s="133"/>
      <c r="M296" s="133"/>
      <c r="N296" s="134" t="s">
        <v>687</v>
      </c>
      <c r="O296" s="134"/>
      <c r="P296" s="134" t="s">
        <v>694</v>
      </c>
      <c r="Q296" s="134"/>
      <c r="R296" s="134"/>
      <c r="S296" s="134"/>
      <c r="T296" s="135">
        <v>1310434836</v>
      </c>
      <c r="U296" s="135"/>
      <c r="V296" s="136" t="s">
        <v>618</v>
      </c>
      <c r="W296" s="136"/>
      <c r="X296" s="129">
        <v>4500</v>
      </c>
      <c r="Y296" s="129"/>
      <c r="Z296" s="129">
        <v>4091</v>
      </c>
      <c r="AA296" s="129"/>
      <c r="AB296" s="129"/>
      <c r="AC296" s="129"/>
      <c r="AD296" s="129">
        <v>409</v>
      </c>
      <c r="AE296" s="129"/>
      <c r="AF296" s="129"/>
      <c r="AG296" s="129"/>
      <c r="AH296" s="129"/>
      <c r="AI296" s="129">
        <v>0</v>
      </c>
      <c r="AJ296" s="129"/>
      <c r="AK296" s="129"/>
    </row>
    <row r="297" spans="3:37" ht="14.85" customHeight="1" x14ac:dyDescent="0.15">
      <c r="C297" s="132">
        <v>44385</v>
      </c>
      <c r="D297" s="132"/>
      <c r="E297" s="132">
        <v>44386</v>
      </c>
      <c r="F297" s="132"/>
      <c r="G297" s="132"/>
      <c r="H297" s="132"/>
      <c r="I297" s="133" t="s">
        <v>621</v>
      </c>
      <c r="J297" s="133"/>
      <c r="K297" s="133"/>
      <c r="L297" s="133"/>
      <c r="M297" s="133"/>
      <c r="N297" s="134" t="s">
        <v>687</v>
      </c>
      <c r="O297" s="134"/>
      <c r="P297" s="134" t="s">
        <v>694</v>
      </c>
      <c r="Q297" s="134"/>
      <c r="R297" s="134"/>
      <c r="S297" s="134"/>
      <c r="T297" s="135">
        <v>1310434836</v>
      </c>
      <c r="U297" s="135"/>
      <c r="V297" s="136" t="s">
        <v>618</v>
      </c>
      <c r="W297" s="136"/>
      <c r="X297" s="129">
        <v>4500</v>
      </c>
      <c r="Y297" s="129"/>
      <c r="Z297" s="129">
        <v>4091</v>
      </c>
      <c r="AA297" s="129"/>
      <c r="AB297" s="129"/>
      <c r="AC297" s="129"/>
      <c r="AD297" s="129">
        <v>409</v>
      </c>
      <c r="AE297" s="129"/>
      <c r="AF297" s="129"/>
      <c r="AG297" s="129"/>
      <c r="AH297" s="129"/>
      <c r="AI297" s="129">
        <v>0</v>
      </c>
      <c r="AJ297" s="129"/>
      <c r="AK297" s="129"/>
    </row>
    <row r="298" spans="3:37" ht="29.65" customHeight="1" x14ac:dyDescent="0.15">
      <c r="V298" s="137" t="s">
        <v>617</v>
      </c>
      <c r="W298" s="137"/>
    </row>
    <row r="299" spans="3:37" ht="14.85" customHeight="1" x14ac:dyDescent="0.15">
      <c r="C299" s="132">
        <v>44390</v>
      </c>
      <c r="D299" s="132"/>
      <c r="E299" s="132">
        <v>44387</v>
      </c>
      <c r="F299" s="132"/>
      <c r="G299" s="132"/>
      <c r="H299" s="132"/>
      <c r="I299" s="133" t="s">
        <v>621</v>
      </c>
      <c r="J299" s="133"/>
      <c r="K299" s="133"/>
      <c r="L299" s="133"/>
      <c r="M299" s="133"/>
      <c r="N299" s="134" t="s">
        <v>687</v>
      </c>
      <c r="O299" s="134"/>
      <c r="P299" s="134" t="s">
        <v>666</v>
      </c>
      <c r="Q299" s="134"/>
      <c r="R299" s="134"/>
      <c r="S299" s="134"/>
      <c r="T299" s="135">
        <v>2208139938</v>
      </c>
      <c r="U299" s="135"/>
      <c r="V299" s="136" t="s">
        <v>618</v>
      </c>
      <c r="W299" s="136"/>
      <c r="X299" s="129">
        <v>42540</v>
      </c>
      <c r="Y299" s="129"/>
      <c r="Z299" s="129">
        <v>42540</v>
      </c>
      <c r="AA299" s="129"/>
      <c r="AB299" s="129"/>
      <c r="AC299" s="129"/>
      <c r="AD299" s="129">
        <v>0</v>
      </c>
      <c r="AE299" s="129"/>
      <c r="AF299" s="129"/>
      <c r="AG299" s="129"/>
      <c r="AH299" s="129"/>
      <c r="AI299" s="129">
        <v>0</v>
      </c>
      <c r="AJ299" s="129"/>
      <c r="AK299" s="129"/>
    </row>
    <row r="300" spans="3:37" ht="14.85" customHeight="1" x14ac:dyDescent="0.15">
      <c r="C300" s="132">
        <v>44390</v>
      </c>
      <c r="D300" s="132"/>
      <c r="E300" s="132">
        <v>44387</v>
      </c>
      <c r="F300" s="132"/>
      <c r="G300" s="132"/>
      <c r="H300" s="132"/>
      <c r="I300" s="133" t="s">
        <v>621</v>
      </c>
      <c r="J300" s="133"/>
      <c r="K300" s="133"/>
      <c r="L300" s="133"/>
      <c r="M300" s="133"/>
      <c r="N300" s="134" t="s">
        <v>687</v>
      </c>
      <c r="O300" s="134"/>
      <c r="P300" s="134" t="s">
        <v>636</v>
      </c>
      <c r="Q300" s="134"/>
      <c r="R300" s="134"/>
      <c r="S300" s="134"/>
      <c r="T300" s="135">
        <v>2208139938</v>
      </c>
      <c r="U300" s="135"/>
      <c r="V300" s="136" t="s">
        <v>618</v>
      </c>
      <c r="W300" s="136"/>
      <c r="X300" s="129">
        <v>8760</v>
      </c>
      <c r="Y300" s="129"/>
      <c r="Z300" s="129">
        <v>8760</v>
      </c>
      <c r="AA300" s="129"/>
      <c r="AB300" s="129"/>
      <c r="AC300" s="129"/>
      <c r="AD300" s="129">
        <v>0</v>
      </c>
      <c r="AE300" s="129"/>
      <c r="AF300" s="129"/>
      <c r="AG300" s="129"/>
      <c r="AH300" s="129"/>
      <c r="AI300" s="129">
        <v>0</v>
      </c>
      <c r="AJ300" s="129"/>
      <c r="AK300" s="129"/>
    </row>
    <row r="301" spans="3:37" ht="14.85" customHeight="1" x14ac:dyDescent="0.15">
      <c r="C301" s="132">
        <v>44386</v>
      </c>
      <c r="D301" s="132"/>
      <c r="E301" s="132">
        <v>44387</v>
      </c>
      <c r="F301" s="132"/>
      <c r="G301" s="132"/>
      <c r="H301" s="132"/>
      <c r="I301" s="133" t="s">
        <v>621</v>
      </c>
      <c r="J301" s="133"/>
      <c r="K301" s="133"/>
      <c r="L301" s="133"/>
      <c r="M301" s="133"/>
      <c r="N301" s="134" t="s">
        <v>687</v>
      </c>
      <c r="O301" s="134"/>
      <c r="P301" s="134" t="s">
        <v>681</v>
      </c>
      <c r="Q301" s="134"/>
      <c r="R301" s="134"/>
      <c r="S301" s="134"/>
      <c r="T301" s="135">
        <v>1168119477</v>
      </c>
      <c r="U301" s="135"/>
      <c r="V301" s="136" t="s">
        <v>618</v>
      </c>
      <c r="W301" s="136"/>
      <c r="X301" s="129">
        <v>700</v>
      </c>
      <c r="Y301" s="129"/>
      <c r="Z301" s="129">
        <v>700</v>
      </c>
      <c r="AA301" s="129"/>
      <c r="AB301" s="129"/>
      <c r="AC301" s="129"/>
      <c r="AD301" s="129">
        <v>0</v>
      </c>
      <c r="AE301" s="129"/>
      <c r="AF301" s="129"/>
      <c r="AG301" s="129"/>
      <c r="AH301" s="129"/>
      <c r="AI301" s="129">
        <v>0</v>
      </c>
      <c r="AJ301" s="129"/>
      <c r="AK301" s="129"/>
    </row>
    <row r="302" spans="3:37" ht="14.85" customHeight="1" x14ac:dyDescent="0.15">
      <c r="C302" s="132">
        <v>44386</v>
      </c>
      <c r="D302" s="132"/>
      <c r="E302" s="132">
        <v>44387</v>
      </c>
      <c r="F302" s="132"/>
      <c r="G302" s="132"/>
      <c r="H302" s="132"/>
      <c r="I302" s="133" t="s">
        <v>621</v>
      </c>
      <c r="J302" s="133"/>
      <c r="K302" s="133"/>
      <c r="L302" s="133"/>
      <c r="M302" s="133"/>
      <c r="N302" s="134" t="s">
        <v>687</v>
      </c>
      <c r="O302" s="134"/>
      <c r="P302" s="134" t="s">
        <v>694</v>
      </c>
      <c r="Q302" s="134"/>
      <c r="R302" s="134"/>
      <c r="S302" s="134"/>
      <c r="T302" s="135">
        <v>1310434836</v>
      </c>
      <c r="U302" s="135"/>
      <c r="V302" s="136" t="s">
        <v>618</v>
      </c>
      <c r="W302" s="136"/>
      <c r="X302" s="129">
        <v>4500</v>
      </c>
      <c r="Y302" s="129"/>
      <c r="Z302" s="129">
        <v>4091</v>
      </c>
      <c r="AA302" s="129"/>
      <c r="AB302" s="129"/>
      <c r="AC302" s="129"/>
      <c r="AD302" s="129">
        <v>409</v>
      </c>
      <c r="AE302" s="129"/>
      <c r="AF302" s="129"/>
      <c r="AG302" s="129"/>
      <c r="AH302" s="129"/>
      <c r="AI302" s="129">
        <v>0</v>
      </c>
      <c r="AJ302" s="129"/>
      <c r="AK302" s="129"/>
    </row>
    <row r="303" spans="3:37" ht="14.85" customHeight="1" x14ac:dyDescent="0.15">
      <c r="C303" s="132">
        <v>44387</v>
      </c>
      <c r="D303" s="132"/>
      <c r="E303" s="132">
        <v>44389</v>
      </c>
      <c r="F303" s="132"/>
      <c r="G303" s="132"/>
      <c r="H303" s="132"/>
      <c r="I303" s="133" t="s">
        <v>621</v>
      </c>
      <c r="J303" s="133"/>
      <c r="K303" s="133"/>
      <c r="L303" s="133"/>
      <c r="M303" s="133"/>
      <c r="N303" s="134" t="s">
        <v>687</v>
      </c>
      <c r="O303" s="134"/>
      <c r="P303" s="134" t="s">
        <v>692</v>
      </c>
      <c r="Q303" s="134"/>
      <c r="R303" s="134"/>
      <c r="S303" s="134"/>
      <c r="T303" s="135">
        <v>5304900441</v>
      </c>
      <c r="U303" s="135"/>
      <c r="V303" s="136" t="s">
        <v>618</v>
      </c>
      <c r="W303" s="136"/>
      <c r="X303" s="129">
        <v>4500</v>
      </c>
      <c r="Y303" s="129"/>
      <c r="Z303" s="129">
        <v>4091</v>
      </c>
      <c r="AA303" s="129"/>
      <c r="AB303" s="129"/>
      <c r="AC303" s="129"/>
      <c r="AD303" s="129">
        <v>409</v>
      </c>
      <c r="AE303" s="129"/>
      <c r="AF303" s="129"/>
      <c r="AG303" s="129"/>
      <c r="AH303" s="129"/>
      <c r="AI303" s="129">
        <v>0</v>
      </c>
      <c r="AJ303" s="129"/>
      <c r="AK303" s="129"/>
    </row>
    <row r="304" spans="3:37" ht="14.85" customHeight="1" x14ac:dyDescent="0.15">
      <c r="C304" s="132">
        <v>44388</v>
      </c>
      <c r="D304" s="132"/>
      <c r="E304" s="132">
        <v>44389</v>
      </c>
      <c r="F304" s="132"/>
      <c r="G304" s="132"/>
      <c r="H304" s="132"/>
      <c r="I304" s="133" t="s">
        <v>621</v>
      </c>
      <c r="J304" s="133"/>
      <c r="K304" s="133"/>
      <c r="L304" s="133"/>
      <c r="M304" s="133"/>
      <c r="N304" s="134" t="s">
        <v>687</v>
      </c>
      <c r="O304" s="134"/>
      <c r="P304" s="134" t="s">
        <v>673</v>
      </c>
      <c r="Q304" s="134"/>
      <c r="R304" s="134"/>
      <c r="S304" s="134"/>
      <c r="T304" s="135">
        <v>1318553360</v>
      </c>
      <c r="U304" s="135"/>
      <c r="V304" s="136" t="s">
        <v>618</v>
      </c>
      <c r="W304" s="136"/>
      <c r="X304" s="129">
        <v>21840</v>
      </c>
      <c r="Y304" s="129"/>
      <c r="Z304" s="129">
        <v>20641</v>
      </c>
      <c r="AA304" s="129"/>
      <c r="AB304" s="129"/>
      <c r="AC304" s="129"/>
      <c r="AD304" s="129">
        <v>1199</v>
      </c>
      <c r="AE304" s="129"/>
      <c r="AF304" s="129"/>
      <c r="AG304" s="129"/>
      <c r="AH304" s="129"/>
      <c r="AI304" s="129">
        <v>0</v>
      </c>
      <c r="AJ304" s="129"/>
      <c r="AK304" s="129"/>
    </row>
    <row r="305" spans="3:37" ht="14.85" customHeight="1" x14ac:dyDescent="0.15">
      <c r="C305" s="132">
        <v>44388</v>
      </c>
      <c r="D305" s="132"/>
      <c r="E305" s="132">
        <v>44389</v>
      </c>
      <c r="F305" s="132"/>
      <c r="G305" s="132"/>
      <c r="H305" s="132"/>
      <c r="I305" s="133" t="s">
        <v>621</v>
      </c>
      <c r="J305" s="133"/>
      <c r="K305" s="133"/>
      <c r="L305" s="133"/>
      <c r="M305" s="133"/>
      <c r="N305" s="134" t="s">
        <v>687</v>
      </c>
      <c r="O305" s="134"/>
      <c r="P305" s="134" t="s">
        <v>699</v>
      </c>
      <c r="Q305" s="134"/>
      <c r="R305" s="134"/>
      <c r="S305" s="134"/>
      <c r="T305" s="135">
        <v>3021040377</v>
      </c>
      <c r="U305" s="135"/>
      <c r="V305" s="136" t="s">
        <v>622</v>
      </c>
      <c r="W305" s="136"/>
      <c r="X305" s="129">
        <v>4500</v>
      </c>
      <c r="Y305" s="129"/>
      <c r="Z305" s="129">
        <v>4091</v>
      </c>
      <c r="AA305" s="129"/>
      <c r="AB305" s="129"/>
      <c r="AC305" s="129"/>
      <c r="AD305" s="129">
        <v>409</v>
      </c>
      <c r="AE305" s="129"/>
      <c r="AF305" s="129"/>
      <c r="AG305" s="129"/>
      <c r="AH305" s="129"/>
      <c r="AI305" s="129">
        <v>0</v>
      </c>
      <c r="AJ305" s="129"/>
      <c r="AK305" s="129"/>
    </row>
    <row r="306" spans="3:37" ht="14.85" customHeight="1" x14ac:dyDescent="0.15">
      <c r="C306" s="132">
        <v>44388</v>
      </c>
      <c r="D306" s="132"/>
      <c r="E306" s="132">
        <v>44389</v>
      </c>
      <c r="F306" s="132"/>
      <c r="G306" s="132"/>
      <c r="H306" s="132"/>
      <c r="I306" s="133" t="s">
        <v>621</v>
      </c>
      <c r="J306" s="133"/>
      <c r="K306" s="133"/>
      <c r="L306" s="133"/>
      <c r="M306" s="133"/>
      <c r="N306" s="134" t="s">
        <v>687</v>
      </c>
      <c r="O306" s="134"/>
      <c r="P306" s="134" t="s">
        <v>699</v>
      </c>
      <c r="Q306" s="134"/>
      <c r="R306" s="134"/>
      <c r="S306" s="134"/>
      <c r="T306" s="135">
        <v>3021040377</v>
      </c>
      <c r="U306" s="135"/>
      <c r="V306" s="136" t="s">
        <v>622</v>
      </c>
      <c r="W306" s="136"/>
      <c r="X306" s="129">
        <v>6600</v>
      </c>
      <c r="Y306" s="129"/>
      <c r="Z306" s="129">
        <v>6000</v>
      </c>
      <c r="AA306" s="129"/>
      <c r="AB306" s="129"/>
      <c r="AC306" s="129"/>
      <c r="AD306" s="129">
        <v>600</v>
      </c>
      <c r="AE306" s="129"/>
      <c r="AF306" s="129"/>
      <c r="AG306" s="129"/>
      <c r="AH306" s="129"/>
      <c r="AI306" s="129">
        <v>0</v>
      </c>
      <c r="AJ306" s="129"/>
      <c r="AK306" s="129"/>
    </row>
    <row r="307" spans="3:37" ht="14.85" customHeight="1" x14ac:dyDescent="0.15">
      <c r="C307" s="132">
        <v>44389</v>
      </c>
      <c r="D307" s="132"/>
      <c r="E307" s="132">
        <v>44390</v>
      </c>
      <c r="F307" s="132"/>
      <c r="G307" s="132"/>
      <c r="H307" s="132"/>
      <c r="I307" s="133" t="s">
        <v>621</v>
      </c>
      <c r="J307" s="133"/>
      <c r="K307" s="133"/>
      <c r="L307" s="133"/>
      <c r="M307" s="133"/>
      <c r="N307" s="134" t="s">
        <v>687</v>
      </c>
      <c r="O307" s="134"/>
      <c r="P307" s="134" t="s">
        <v>627</v>
      </c>
      <c r="Q307" s="134"/>
      <c r="R307" s="134"/>
      <c r="S307" s="134"/>
      <c r="T307" s="135">
        <v>2329300384</v>
      </c>
      <c r="U307" s="135"/>
      <c r="V307" s="136" t="s">
        <v>626</v>
      </c>
      <c r="W307" s="136"/>
      <c r="X307" s="129">
        <v>4400</v>
      </c>
      <c r="Y307" s="129"/>
      <c r="Z307" s="129">
        <v>4400</v>
      </c>
      <c r="AA307" s="129"/>
      <c r="AB307" s="129"/>
      <c r="AC307" s="129"/>
      <c r="AD307" s="129">
        <v>0</v>
      </c>
      <c r="AE307" s="129"/>
      <c r="AF307" s="129"/>
      <c r="AG307" s="129"/>
      <c r="AH307" s="129"/>
      <c r="AI307" s="129">
        <v>0</v>
      </c>
      <c r="AJ307" s="129"/>
      <c r="AK307" s="129"/>
    </row>
    <row r="308" spans="3:37" ht="14.85" customHeight="1" x14ac:dyDescent="0.15">
      <c r="C308" s="132">
        <v>44389</v>
      </c>
      <c r="D308" s="132"/>
      <c r="E308" s="132">
        <v>44390</v>
      </c>
      <c r="F308" s="132"/>
      <c r="G308" s="132"/>
      <c r="H308" s="132"/>
      <c r="I308" s="133" t="s">
        <v>621</v>
      </c>
      <c r="J308" s="133"/>
      <c r="K308" s="133"/>
      <c r="L308" s="133"/>
      <c r="M308" s="133"/>
      <c r="N308" s="134" t="s">
        <v>687</v>
      </c>
      <c r="O308" s="134"/>
      <c r="P308" s="134" t="s">
        <v>697</v>
      </c>
      <c r="Q308" s="134"/>
      <c r="R308" s="134"/>
      <c r="S308" s="134"/>
      <c r="T308" s="135">
        <v>5990701264</v>
      </c>
      <c r="U308" s="135"/>
      <c r="V308" s="136" t="s">
        <v>622</v>
      </c>
      <c r="W308" s="136"/>
      <c r="X308" s="129">
        <v>16200</v>
      </c>
      <c r="Y308" s="129"/>
      <c r="Z308" s="129">
        <v>14727</v>
      </c>
      <c r="AA308" s="129"/>
      <c r="AB308" s="129"/>
      <c r="AC308" s="129"/>
      <c r="AD308" s="129">
        <v>1473</v>
      </c>
      <c r="AE308" s="129"/>
      <c r="AF308" s="129"/>
      <c r="AG308" s="129"/>
      <c r="AH308" s="129"/>
      <c r="AI308" s="129">
        <v>0</v>
      </c>
      <c r="AJ308" s="129"/>
      <c r="AK308" s="129"/>
    </row>
    <row r="309" spans="3:37" ht="14.85" customHeight="1" x14ac:dyDescent="0.15">
      <c r="C309" s="132">
        <v>44389</v>
      </c>
      <c r="D309" s="132"/>
      <c r="E309" s="132">
        <v>44390</v>
      </c>
      <c r="F309" s="132"/>
      <c r="G309" s="132"/>
      <c r="H309" s="132"/>
      <c r="I309" s="133" t="s">
        <v>621</v>
      </c>
      <c r="J309" s="133"/>
      <c r="K309" s="133"/>
      <c r="L309" s="133"/>
      <c r="M309" s="133"/>
      <c r="N309" s="134" t="s">
        <v>687</v>
      </c>
      <c r="O309" s="134"/>
      <c r="P309" s="134" t="s">
        <v>625</v>
      </c>
      <c r="Q309" s="134"/>
      <c r="R309" s="134"/>
      <c r="S309" s="134"/>
      <c r="T309" s="135">
        <v>6073354644</v>
      </c>
      <c r="U309" s="135"/>
      <c r="V309" s="136" t="s">
        <v>618</v>
      </c>
      <c r="W309" s="136"/>
      <c r="X309" s="129">
        <v>32600</v>
      </c>
      <c r="Y309" s="129"/>
      <c r="Z309" s="129">
        <v>32600</v>
      </c>
      <c r="AA309" s="129"/>
      <c r="AB309" s="129"/>
      <c r="AC309" s="129"/>
      <c r="AD309" s="129">
        <v>0</v>
      </c>
      <c r="AE309" s="129"/>
      <c r="AF309" s="129"/>
      <c r="AG309" s="129"/>
      <c r="AH309" s="129"/>
      <c r="AI309" s="129">
        <v>0</v>
      </c>
      <c r="AJ309" s="129"/>
      <c r="AK309" s="129"/>
    </row>
    <row r="310" spans="3:37" ht="14.85" customHeight="1" x14ac:dyDescent="0.15">
      <c r="C310" s="132">
        <v>44390</v>
      </c>
      <c r="D310" s="132"/>
      <c r="E310" s="132">
        <v>44391</v>
      </c>
      <c r="F310" s="132"/>
      <c r="G310" s="132"/>
      <c r="H310" s="132"/>
      <c r="I310" s="133" t="s">
        <v>621</v>
      </c>
      <c r="J310" s="133"/>
      <c r="K310" s="133"/>
      <c r="L310" s="133"/>
      <c r="M310" s="133"/>
      <c r="N310" s="134" t="s">
        <v>687</v>
      </c>
      <c r="O310" s="134"/>
      <c r="P310" s="134" t="s">
        <v>752</v>
      </c>
      <c r="Q310" s="134"/>
      <c r="R310" s="134"/>
      <c r="S310" s="134"/>
      <c r="T310" s="135">
        <v>1048183559</v>
      </c>
      <c r="U310" s="135"/>
      <c r="V310" s="136" t="s">
        <v>618</v>
      </c>
      <c r="W310" s="136"/>
      <c r="X310" s="129">
        <v>7300</v>
      </c>
      <c r="Y310" s="129"/>
      <c r="Z310" s="129">
        <v>7300</v>
      </c>
      <c r="AA310" s="129"/>
      <c r="AB310" s="129"/>
      <c r="AC310" s="129"/>
      <c r="AD310" s="129">
        <v>0</v>
      </c>
      <c r="AE310" s="129"/>
      <c r="AF310" s="129"/>
      <c r="AG310" s="129"/>
      <c r="AH310" s="129"/>
      <c r="AI310" s="129">
        <v>0</v>
      </c>
      <c r="AJ310" s="129"/>
      <c r="AK310" s="129"/>
    </row>
    <row r="311" spans="3:37" ht="14.85" customHeight="1" x14ac:dyDescent="0.15">
      <c r="C311" s="132">
        <v>44389</v>
      </c>
      <c r="D311" s="132"/>
      <c r="E311" s="132">
        <v>44391</v>
      </c>
      <c r="F311" s="132"/>
      <c r="G311" s="132"/>
      <c r="H311" s="132"/>
      <c r="I311" s="133" t="s">
        <v>621</v>
      </c>
      <c r="J311" s="133"/>
      <c r="K311" s="133"/>
      <c r="L311" s="133"/>
      <c r="M311" s="133"/>
      <c r="N311" s="134" t="s">
        <v>687</v>
      </c>
      <c r="O311" s="134"/>
      <c r="P311" s="134" t="s">
        <v>692</v>
      </c>
      <c r="Q311" s="134"/>
      <c r="R311" s="134"/>
      <c r="S311" s="134"/>
      <c r="T311" s="135">
        <v>5304900441</v>
      </c>
      <c r="U311" s="135"/>
      <c r="V311" s="136" t="s">
        <v>618</v>
      </c>
      <c r="W311" s="136"/>
      <c r="X311" s="129">
        <v>4500</v>
      </c>
      <c r="Y311" s="129"/>
      <c r="Z311" s="129">
        <v>4091</v>
      </c>
      <c r="AA311" s="129"/>
      <c r="AB311" s="129"/>
      <c r="AC311" s="129"/>
      <c r="AD311" s="129">
        <v>409</v>
      </c>
      <c r="AE311" s="129"/>
      <c r="AF311" s="129"/>
      <c r="AG311" s="129"/>
      <c r="AH311" s="129"/>
      <c r="AI311" s="129">
        <v>0</v>
      </c>
      <c r="AJ311" s="129"/>
      <c r="AK311" s="129"/>
    </row>
    <row r="312" spans="3:37" ht="14.85" customHeight="1" x14ac:dyDescent="0.15">
      <c r="C312" s="132">
        <v>44390</v>
      </c>
      <c r="D312" s="132"/>
      <c r="E312" s="132">
        <v>44391</v>
      </c>
      <c r="F312" s="132"/>
      <c r="G312" s="132"/>
      <c r="H312" s="132"/>
      <c r="I312" s="133" t="s">
        <v>621</v>
      </c>
      <c r="J312" s="133"/>
      <c r="K312" s="133"/>
      <c r="L312" s="133"/>
      <c r="M312" s="133"/>
      <c r="N312" s="134" t="s">
        <v>687</v>
      </c>
      <c r="O312" s="134"/>
      <c r="P312" s="134" t="s">
        <v>751</v>
      </c>
      <c r="Q312" s="134"/>
      <c r="R312" s="134"/>
      <c r="S312" s="134"/>
      <c r="T312" s="135">
        <v>1322671063</v>
      </c>
      <c r="U312" s="135"/>
      <c r="V312" s="136" t="s">
        <v>622</v>
      </c>
      <c r="W312" s="136"/>
      <c r="X312" s="129">
        <v>4500</v>
      </c>
      <c r="Y312" s="129"/>
      <c r="Z312" s="129">
        <v>4091</v>
      </c>
      <c r="AA312" s="129"/>
      <c r="AB312" s="129"/>
      <c r="AC312" s="129"/>
      <c r="AD312" s="129">
        <v>409</v>
      </c>
      <c r="AE312" s="129"/>
      <c r="AF312" s="129"/>
      <c r="AG312" s="129"/>
      <c r="AH312" s="129"/>
      <c r="AI312" s="129">
        <v>0</v>
      </c>
      <c r="AJ312" s="129"/>
      <c r="AK312" s="129"/>
    </row>
    <row r="313" spans="3:37" ht="14.85" customHeight="1" x14ac:dyDescent="0.15">
      <c r="C313" s="132">
        <v>44390</v>
      </c>
      <c r="D313" s="132"/>
      <c r="E313" s="132">
        <v>44391</v>
      </c>
      <c r="F313" s="132"/>
      <c r="G313" s="132"/>
      <c r="H313" s="132"/>
      <c r="I313" s="133" t="s">
        <v>621</v>
      </c>
      <c r="J313" s="133"/>
      <c r="K313" s="133"/>
      <c r="L313" s="133"/>
      <c r="M313" s="133"/>
      <c r="N313" s="134" t="s">
        <v>687</v>
      </c>
      <c r="O313" s="134"/>
      <c r="P313" s="134" t="s">
        <v>634</v>
      </c>
      <c r="Q313" s="134"/>
      <c r="R313" s="134"/>
      <c r="S313" s="134"/>
      <c r="T313" s="135">
        <v>1298638970</v>
      </c>
      <c r="U313" s="135"/>
      <c r="V313" s="136" t="s">
        <v>618</v>
      </c>
      <c r="W313" s="136"/>
      <c r="X313" s="129">
        <v>8700</v>
      </c>
      <c r="Y313" s="129"/>
      <c r="Z313" s="129">
        <v>8700</v>
      </c>
      <c r="AA313" s="129"/>
      <c r="AB313" s="129"/>
      <c r="AC313" s="129"/>
      <c r="AD313" s="129">
        <v>0</v>
      </c>
      <c r="AE313" s="129"/>
      <c r="AF313" s="129"/>
      <c r="AG313" s="129"/>
      <c r="AH313" s="129"/>
      <c r="AI313" s="129">
        <v>0</v>
      </c>
      <c r="AJ313" s="129"/>
      <c r="AK313" s="129"/>
    </row>
    <row r="314" spans="3:37" ht="14.85" customHeight="1" x14ac:dyDescent="0.15">
      <c r="C314" s="132">
        <v>44391</v>
      </c>
      <c r="D314" s="132"/>
      <c r="E314" s="132">
        <v>44392</v>
      </c>
      <c r="F314" s="132"/>
      <c r="G314" s="132"/>
      <c r="H314" s="132"/>
      <c r="I314" s="133" t="s">
        <v>621</v>
      </c>
      <c r="J314" s="133"/>
      <c r="K314" s="133"/>
      <c r="L314" s="133"/>
      <c r="M314" s="133"/>
      <c r="N314" s="134" t="s">
        <v>687</v>
      </c>
      <c r="O314" s="134"/>
      <c r="P314" s="134" t="s">
        <v>750</v>
      </c>
      <c r="Q314" s="134"/>
      <c r="R314" s="134"/>
      <c r="S314" s="134"/>
      <c r="T314" s="135">
        <v>1390208167</v>
      </c>
      <c r="U314" s="135"/>
      <c r="V314" s="136" t="s">
        <v>618</v>
      </c>
      <c r="W314" s="136"/>
      <c r="X314" s="129">
        <v>16000</v>
      </c>
      <c r="Y314" s="129"/>
      <c r="Z314" s="129">
        <v>16000</v>
      </c>
      <c r="AA314" s="129"/>
      <c r="AB314" s="129"/>
      <c r="AC314" s="129"/>
      <c r="AD314" s="129">
        <v>0</v>
      </c>
      <c r="AE314" s="129"/>
      <c r="AF314" s="129"/>
      <c r="AG314" s="129"/>
      <c r="AH314" s="129"/>
      <c r="AI314" s="129">
        <v>0</v>
      </c>
      <c r="AJ314" s="129"/>
      <c r="AK314" s="129"/>
    </row>
    <row r="315" spans="3:37" ht="14.85" customHeight="1" x14ac:dyDescent="0.15">
      <c r="C315" s="132">
        <v>44391</v>
      </c>
      <c r="D315" s="132"/>
      <c r="E315" s="132">
        <v>44393</v>
      </c>
      <c r="F315" s="132"/>
      <c r="G315" s="132"/>
      <c r="H315" s="132"/>
      <c r="I315" s="133" t="s">
        <v>621</v>
      </c>
      <c r="J315" s="133"/>
      <c r="K315" s="133"/>
      <c r="L315" s="133"/>
      <c r="M315" s="133"/>
      <c r="N315" s="134" t="s">
        <v>687</v>
      </c>
      <c r="O315" s="134"/>
      <c r="P315" s="134" t="s">
        <v>692</v>
      </c>
      <c r="Q315" s="134"/>
      <c r="R315" s="134"/>
      <c r="S315" s="134"/>
      <c r="T315" s="135">
        <v>5304900441</v>
      </c>
      <c r="U315" s="135"/>
      <c r="V315" s="136" t="s">
        <v>618</v>
      </c>
      <c r="W315" s="136"/>
      <c r="X315" s="129">
        <v>4500</v>
      </c>
      <c r="Y315" s="129"/>
      <c r="Z315" s="129">
        <v>4091</v>
      </c>
      <c r="AA315" s="129"/>
      <c r="AB315" s="129"/>
      <c r="AC315" s="129"/>
      <c r="AD315" s="129">
        <v>409</v>
      </c>
      <c r="AE315" s="129"/>
      <c r="AF315" s="129"/>
      <c r="AG315" s="129"/>
      <c r="AH315" s="129"/>
      <c r="AI315" s="129">
        <v>0</v>
      </c>
      <c r="AJ315" s="129"/>
      <c r="AK315" s="129"/>
    </row>
    <row r="316" spans="3:37" ht="14.85" customHeight="1" x14ac:dyDescent="0.15">
      <c r="C316" s="132">
        <v>44392</v>
      </c>
      <c r="D316" s="132"/>
      <c r="E316" s="132">
        <v>44393</v>
      </c>
      <c r="F316" s="132"/>
      <c r="G316" s="132"/>
      <c r="H316" s="132"/>
      <c r="I316" s="133" t="s">
        <v>621</v>
      </c>
      <c r="J316" s="133"/>
      <c r="K316" s="133"/>
      <c r="L316" s="133"/>
      <c r="M316" s="133"/>
      <c r="N316" s="134" t="s">
        <v>687</v>
      </c>
      <c r="O316" s="134"/>
      <c r="P316" s="134" t="s">
        <v>749</v>
      </c>
      <c r="Q316" s="134"/>
      <c r="R316" s="134"/>
      <c r="S316" s="134"/>
      <c r="T316" s="135">
        <v>1340649007</v>
      </c>
      <c r="U316" s="135"/>
      <c r="V316" s="136" t="s">
        <v>618</v>
      </c>
      <c r="W316" s="136"/>
      <c r="X316" s="129">
        <v>4500</v>
      </c>
      <c r="Y316" s="129"/>
      <c r="Z316" s="129">
        <v>4091</v>
      </c>
      <c r="AA316" s="129"/>
      <c r="AB316" s="129"/>
      <c r="AC316" s="129"/>
      <c r="AD316" s="129">
        <v>409</v>
      </c>
      <c r="AE316" s="129"/>
      <c r="AF316" s="129"/>
      <c r="AG316" s="129"/>
      <c r="AH316" s="129"/>
      <c r="AI316" s="129">
        <v>0</v>
      </c>
      <c r="AJ316" s="129"/>
      <c r="AK316" s="129"/>
    </row>
    <row r="317" spans="3:37" ht="14.85" customHeight="1" x14ac:dyDescent="0.15">
      <c r="C317" s="132">
        <v>44392</v>
      </c>
      <c r="D317" s="132"/>
      <c r="E317" s="132">
        <v>44393</v>
      </c>
      <c r="F317" s="132"/>
      <c r="G317" s="132"/>
      <c r="H317" s="132"/>
      <c r="I317" s="133" t="s">
        <v>621</v>
      </c>
      <c r="J317" s="133"/>
      <c r="K317" s="133"/>
      <c r="L317" s="133"/>
      <c r="M317" s="133"/>
      <c r="N317" s="134" t="s">
        <v>687</v>
      </c>
      <c r="O317" s="134"/>
      <c r="P317" s="134" t="s">
        <v>699</v>
      </c>
      <c r="Q317" s="134"/>
      <c r="R317" s="134"/>
      <c r="S317" s="134"/>
      <c r="T317" s="135">
        <v>3021040377</v>
      </c>
      <c r="U317" s="135"/>
      <c r="V317" s="136" t="s">
        <v>622</v>
      </c>
      <c r="W317" s="136"/>
      <c r="X317" s="129">
        <v>9900</v>
      </c>
      <c r="Y317" s="129"/>
      <c r="Z317" s="129">
        <v>9000</v>
      </c>
      <c r="AA317" s="129"/>
      <c r="AB317" s="129"/>
      <c r="AC317" s="129"/>
      <c r="AD317" s="129">
        <v>900</v>
      </c>
      <c r="AE317" s="129"/>
      <c r="AF317" s="129"/>
      <c r="AG317" s="129"/>
      <c r="AH317" s="129"/>
      <c r="AI317" s="129">
        <v>0</v>
      </c>
      <c r="AJ317" s="129"/>
      <c r="AK317" s="129"/>
    </row>
    <row r="318" spans="3:37" ht="14.85" customHeight="1" x14ac:dyDescent="0.15">
      <c r="C318" s="132">
        <v>44392</v>
      </c>
      <c r="D318" s="132"/>
      <c r="E318" s="132">
        <v>44393</v>
      </c>
      <c r="F318" s="132"/>
      <c r="G318" s="132"/>
      <c r="H318" s="132"/>
      <c r="I318" s="133" t="s">
        <v>621</v>
      </c>
      <c r="J318" s="133"/>
      <c r="K318" s="133"/>
      <c r="L318" s="133"/>
      <c r="M318" s="133"/>
      <c r="N318" s="134" t="s">
        <v>687</v>
      </c>
      <c r="O318" s="134"/>
      <c r="P318" s="134" t="s">
        <v>634</v>
      </c>
      <c r="Q318" s="134"/>
      <c r="R318" s="134"/>
      <c r="S318" s="134"/>
      <c r="T318" s="135">
        <v>1298638970</v>
      </c>
      <c r="U318" s="135"/>
      <c r="V318" s="136" t="s">
        <v>618</v>
      </c>
      <c r="W318" s="136"/>
      <c r="X318" s="129">
        <v>5000</v>
      </c>
      <c r="Y318" s="129"/>
      <c r="Z318" s="129">
        <v>5000</v>
      </c>
      <c r="AA318" s="129"/>
      <c r="AB318" s="129"/>
      <c r="AC318" s="129"/>
      <c r="AD318" s="129">
        <v>0</v>
      </c>
      <c r="AE318" s="129"/>
      <c r="AF318" s="129"/>
      <c r="AG318" s="129"/>
      <c r="AH318" s="129"/>
      <c r="AI318" s="129">
        <v>0</v>
      </c>
      <c r="AJ318" s="129"/>
      <c r="AK318" s="129"/>
    </row>
    <row r="319" spans="3:37" ht="14.85" customHeight="1" x14ac:dyDescent="0.15">
      <c r="C319" s="132">
        <v>44393</v>
      </c>
      <c r="D319" s="132"/>
      <c r="E319" s="132">
        <v>44394</v>
      </c>
      <c r="F319" s="132"/>
      <c r="G319" s="132"/>
      <c r="H319" s="132"/>
      <c r="I319" s="133" t="s">
        <v>621</v>
      </c>
      <c r="J319" s="133"/>
      <c r="K319" s="133"/>
      <c r="L319" s="133"/>
      <c r="M319" s="133"/>
      <c r="N319" s="134" t="s">
        <v>687</v>
      </c>
      <c r="O319" s="134"/>
      <c r="P319" s="134" t="s">
        <v>748</v>
      </c>
      <c r="Q319" s="134"/>
      <c r="R319" s="134"/>
      <c r="S319" s="134"/>
      <c r="T319" s="135">
        <v>1310805678</v>
      </c>
      <c r="U319" s="135"/>
      <c r="V319" s="136" t="s">
        <v>618</v>
      </c>
      <c r="W319" s="136"/>
      <c r="X319" s="129">
        <v>14000</v>
      </c>
      <c r="Y319" s="129"/>
      <c r="Z319" s="129">
        <v>14000</v>
      </c>
      <c r="AA319" s="129"/>
      <c r="AB319" s="129"/>
      <c r="AC319" s="129"/>
      <c r="AD319" s="129">
        <v>0</v>
      </c>
      <c r="AE319" s="129"/>
      <c r="AF319" s="129"/>
      <c r="AG319" s="129"/>
      <c r="AH319" s="129"/>
      <c r="AI319" s="129">
        <v>0</v>
      </c>
      <c r="AJ319" s="129"/>
      <c r="AK319" s="129"/>
    </row>
    <row r="320" spans="3:37" ht="14.85" customHeight="1" x14ac:dyDescent="0.15">
      <c r="C320" s="132">
        <v>44393</v>
      </c>
      <c r="D320" s="132"/>
      <c r="E320" s="132">
        <v>44394</v>
      </c>
      <c r="F320" s="132"/>
      <c r="G320" s="132"/>
      <c r="H320" s="132"/>
      <c r="I320" s="133" t="s">
        <v>621</v>
      </c>
      <c r="J320" s="133"/>
      <c r="K320" s="133"/>
      <c r="L320" s="133"/>
      <c r="M320" s="133"/>
      <c r="N320" s="134" t="s">
        <v>687</v>
      </c>
      <c r="O320" s="134"/>
      <c r="P320" s="134" t="s">
        <v>694</v>
      </c>
      <c r="Q320" s="134"/>
      <c r="R320" s="134"/>
      <c r="S320" s="134"/>
      <c r="T320" s="135">
        <v>1310434836</v>
      </c>
      <c r="U320" s="135"/>
      <c r="V320" s="136" t="s">
        <v>618</v>
      </c>
      <c r="W320" s="136"/>
      <c r="X320" s="129">
        <v>4500</v>
      </c>
      <c r="Y320" s="129"/>
      <c r="Z320" s="129">
        <v>4091</v>
      </c>
      <c r="AA320" s="129"/>
      <c r="AB320" s="129"/>
      <c r="AC320" s="129"/>
      <c r="AD320" s="129">
        <v>409</v>
      </c>
      <c r="AE320" s="129"/>
      <c r="AF320" s="129"/>
      <c r="AG320" s="129"/>
      <c r="AH320" s="129"/>
      <c r="AI320" s="129">
        <v>0</v>
      </c>
      <c r="AJ320" s="129"/>
      <c r="AK320" s="129"/>
    </row>
    <row r="321" spans="3:37" ht="14.85" customHeight="1" x14ac:dyDescent="0.15">
      <c r="C321" s="132">
        <v>44394</v>
      </c>
      <c r="D321" s="132"/>
      <c r="E321" s="132">
        <v>44395</v>
      </c>
      <c r="F321" s="132"/>
      <c r="G321" s="132"/>
      <c r="H321" s="132"/>
      <c r="I321" s="133" t="s">
        <v>621</v>
      </c>
      <c r="J321" s="133"/>
      <c r="K321" s="133"/>
      <c r="L321" s="133"/>
      <c r="M321" s="133"/>
      <c r="N321" s="134" t="s">
        <v>687</v>
      </c>
      <c r="O321" s="134"/>
      <c r="P321" s="134" t="s">
        <v>748</v>
      </c>
      <c r="Q321" s="134"/>
      <c r="R321" s="134"/>
      <c r="S321" s="134"/>
      <c r="T321" s="135">
        <v>1310805678</v>
      </c>
      <c r="U321" s="135"/>
      <c r="V321" s="136" t="s">
        <v>618</v>
      </c>
      <c r="W321" s="136"/>
      <c r="X321" s="129">
        <v>29000</v>
      </c>
      <c r="Y321" s="129"/>
      <c r="Z321" s="129">
        <v>29000</v>
      </c>
      <c r="AA321" s="129"/>
      <c r="AB321" s="129"/>
      <c r="AC321" s="129"/>
      <c r="AD321" s="129">
        <v>0</v>
      </c>
      <c r="AE321" s="129"/>
      <c r="AF321" s="129"/>
      <c r="AG321" s="129"/>
      <c r="AH321" s="129"/>
      <c r="AI321" s="129">
        <v>0</v>
      </c>
      <c r="AJ321" s="129"/>
      <c r="AK321" s="129"/>
    </row>
    <row r="322" spans="3:37" ht="14.85" customHeight="1" x14ac:dyDescent="0.15">
      <c r="C322" s="132">
        <v>44395</v>
      </c>
      <c r="D322" s="132"/>
      <c r="E322" s="132">
        <v>44396</v>
      </c>
      <c r="F322" s="132"/>
      <c r="G322" s="132"/>
      <c r="H322" s="132"/>
      <c r="I322" s="133" t="s">
        <v>621</v>
      </c>
      <c r="J322" s="133"/>
      <c r="K322" s="133"/>
      <c r="L322" s="133"/>
      <c r="M322" s="133"/>
      <c r="N322" s="134" t="s">
        <v>687</v>
      </c>
      <c r="O322" s="134"/>
      <c r="P322" s="134" t="s">
        <v>699</v>
      </c>
      <c r="Q322" s="134"/>
      <c r="R322" s="134"/>
      <c r="S322" s="134"/>
      <c r="T322" s="135">
        <v>3021040377</v>
      </c>
      <c r="U322" s="135"/>
      <c r="V322" s="136" t="s">
        <v>622</v>
      </c>
      <c r="W322" s="136"/>
      <c r="X322" s="129">
        <v>4500</v>
      </c>
      <c r="Y322" s="129"/>
      <c r="Z322" s="129">
        <v>4091</v>
      </c>
      <c r="AA322" s="129"/>
      <c r="AB322" s="129"/>
      <c r="AC322" s="129"/>
      <c r="AD322" s="129">
        <v>409</v>
      </c>
      <c r="AE322" s="129"/>
      <c r="AF322" s="129"/>
      <c r="AG322" s="129"/>
      <c r="AH322" s="129"/>
      <c r="AI322" s="129">
        <v>0</v>
      </c>
      <c r="AJ322" s="129"/>
      <c r="AK322" s="129"/>
    </row>
    <row r="323" spans="3:37" ht="14.85" customHeight="1" x14ac:dyDescent="0.15">
      <c r="C323" s="132">
        <v>44396</v>
      </c>
      <c r="D323" s="132"/>
      <c r="E323" s="132">
        <v>44397</v>
      </c>
      <c r="F323" s="132"/>
      <c r="G323" s="132"/>
      <c r="H323" s="132"/>
      <c r="I323" s="133" t="s">
        <v>621</v>
      </c>
      <c r="J323" s="133"/>
      <c r="K323" s="133"/>
      <c r="L323" s="133"/>
      <c r="M323" s="133"/>
      <c r="N323" s="134" t="s">
        <v>687</v>
      </c>
      <c r="O323" s="134"/>
      <c r="P323" s="134" t="s">
        <v>681</v>
      </c>
      <c r="Q323" s="134"/>
      <c r="R323" s="134"/>
      <c r="S323" s="134"/>
      <c r="T323" s="135">
        <v>1168119477</v>
      </c>
      <c r="U323" s="135"/>
      <c r="V323" s="136" t="s">
        <v>618</v>
      </c>
      <c r="W323" s="136"/>
      <c r="X323" s="129">
        <v>700</v>
      </c>
      <c r="Y323" s="129"/>
      <c r="Z323" s="129">
        <v>700</v>
      </c>
      <c r="AA323" s="129"/>
      <c r="AB323" s="129"/>
      <c r="AC323" s="129"/>
      <c r="AD323" s="129">
        <v>0</v>
      </c>
      <c r="AE323" s="129"/>
      <c r="AF323" s="129"/>
      <c r="AG323" s="129"/>
      <c r="AH323" s="129"/>
      <c r="AI323" s="129">
        <v>0</v>
      </c>
      <c r="AJ323" s="129"/>
      <c r="AK323" s="129"/>
    </row>
    <row r="324" spans="3:37" ht="14.85" customHeight="1" x14ac:dyDescent="0.15">
      <c r="C324" s="132">
        <v>44396</v>
      </c>
      <c r="D324" s="132"/>
      <c r="E324" s="132">
        <v>44397</v>
      </c>
      <c r="F324" s="132"/>
      <c r="G324" s="132"/>
      <c r="H324" s="132"/>
      <c r="I324" s="133" t="s">
        <v>621</v>
      </c>
      <c r="J324" s="133"/>
      <c r="K324" s="133"/>
      <c r="L324" s="133"/>
      <c r="M324" s="133"/>
      <c r="N324" s="134" t="s">
        <v>687</v>
      </c>
      <c r="O324" s="134"/>
      <c r="P324" s="134" t="s">
        <v>681</v>
      </c>
      <c r="Q324" s="134"/>
      <c r="R324" s="134"/>
      <c r="S324" s="134"/>
      <c r="T324" s="135">
        <v>1168119477</v>
      </c>
      <c r="U324" s="135"/>
      <c r="V324" s="136" t="s">
        <v>618</v>
      </c>
      <c r="W324" s="136"/>
      <c r="X324" s="129">
        <v>700</v>
      </c>
      <c r="Y324" s="129"/>
      <c r="Z324" s="129">
        <v>700</v>
      </c>
      <c r="AA324" s="129"/>
      <c r="AB324" s="129"/>
      <c r="AC324" s="129"/>
      <c r="AD324" s="129">
        <v>0</v>
      </c>
      <c r="AE324" s="129"/>
      <c r="AF324" s="129"/>
      <c r="AG324" s="129"/>
      <c r="AH324" s="129"/>
      <c r="AI324" s="129">
        <v>0</v>
      </c>
      <c r="AJ324" s="129"/>
      <c r="AK324" s="129"/>
    </row>
    <row r="325" spans="3:37" ht="14.85" customHeight="1" x14ac:dyDescent="0.15">
      <c r="C325" s="132">
        <v>44396</v>
      </c>
      <c r="D325" s="132"/>
      <c r="E325" s="132">
        <v>44397</v>
      </c>
      <c r="F325" s="132"/>
      <c r="G325" s="132"/>
      <c r="H325" s="132"/>
      <c r="I325" s="133" t="s">
        <v>621</v>
      </c>
      <c r="J325" s="133"/>
      <c r="K325" s="133"/>
      <c r="L325" s="133"/>
      <c r="M325" s="133"/>
      <c r="N325" s="134" t="s">
        <v>687</v>
      </c>
      <c r="O325" s="134"/>
      <c r="P325" s="134" t="s">
        <v>747</v>
      </c>
      <c r="Q325" s="134"/>
      <c r="R325" s="134"/>
      <c r="S325" s="134"/>
      <c r="T325" s="135">
        <v>3263700698</v>
      </c>
      <c r="U325" s="135"/>
      <c r="V325" s="136" t="s">
        <v>618</v>
      </c>
      <c r="W325" s="136"/>
      <c r="X325" s="129">
        <v>4500</v>
      </c>
      <c r="Y325" s="129"/>
      <c r="Z325" s="129">
        <v>4091</v>
      </c>
      <c r="AA325" s="129"/>
      <c r="AB325" s="129"/>
      <c r="AC325" s="129"/>
      <c r="AD325" s="129">
        <v>409</v>
      </c>
      <c r="AE325" s="129"/>
      <c r="AF325" s="129"/>
      <c r="AG325" s="129"/>
      <c r="AH325" s="129"/>
      <c r="AI325" s="129">
        <v>0</v>
      </c>
      <c r="AJ325" s="129"/>
      <c r="AK325" s="129"/>
    </row>
    <row r="326" spans="3:37" ht="14.85" customHeight="1" x14ac:dyDescent="0.15">
      <c r="C326" s="132">
        <v>44397</v>
      </c>
      <c r="D326" s="132"/>
      <c r="E326" s="132">
        <v>44398</v>
      </c>
      <c r="F326" s="132"/>
      <c r="G326" s="132"/>
      <c r="H326" s="132"/>
      <c r="I326" s="133" t="s">
        <v>621</v>
      </c>
      <c r="J326" s="133"/>
      <c r="K326" s="133"/>
      <c r="L326" s="133"/>
      <c r="M326" s="133"/>
      <c r="N326" s="134" t="s">
        <v>687</v>
      </c>
      <c r="O326" s="134"/>
      <c r="P326" s="134" t="s">
        <v>746</v>
      </c>
      <c r="Q326" s="134"/>
      <c r="R326" s="134"/>
      <c r="S326" s="134"/>
      <c r="T326" s="135">
        <v>1210732021</v>
      </c>
      <c r="U326" s="135"/>
      <c r="V326" s="136" t="s">
        <v>622</v>
      </c>
      <c r="W326" s="136"/>
      <c r="X326" s="129">
        <v>18000</v>
      </c>
      <c r="Y326" s="129"/>
      <c r="Z326" s="129">
        <v>16364</v>
      </c>
      <c r="AA326" s="129"/>
      <c r="AB326" s="129"/>
      <c r="AC326" s="129"/>
      <c r="AD326" s="129">
        <v>1636</v>
      </c>
      <c r="AE326" s="129"/>
      <c r="AF326" s="129"/>
      <c r="AG326" s="129"/>
      <c r="AH326" s="129"/>
      <c r="AI326" s="129">
        <v>0</v>
      </c>
      <c r="AJ326" s="129"/>
      <c r="AK326" s="129"/>
    </row>
    <row r="327" spans="3:37" ht="14.85" customHeight="1" x14ac:dyDescent="0.15">
      <c r="C327" s="132">
        <v>44397</v>
      </c>
      <c r="D327" s="132"/>
      <c r="E327" s="132">
        <v>44398</v>
      </c>
      <c r="F327" s="132"/>
      <c r="G327" s="132"/>
      <c r="H327" s="132"/>
      <c r="I327" s="133" t="s">
        <v>621</v>
      </c>
      <c r="J327" s="133"/>
      <c r="K327" s="133"/>
      <c r="L327" s="133"/>
      <c r="M327" s="133"/>
      <c r="N327" s="134" t="s">
        <v>687</v>
      </c>
      <c r="O327" s="134"/>
      <c r="P327" s="134" t="s">
        <v>745</v>
      </c>
      <c r="Q327" s="134"/>
      <c r="R327" s="134"/>
      <c r="S327" s="134"/>
      <c r="T327" s="135">
        <v>1217100137</v>
      </c>
      <c r="U327" s="135"/>
      <c r="V327" s="136" t="s">
        <v>622</v>
      </c>
      <c r="W327" s="136"/>
      <c r="X327" s="129">
        <v>18000</v>
      </c>
      <c r="Y327" s="129"/>
      <c r="Z327" s="129">
        <v>16364</v>
      </c>
      <c r="AA327" s="129"/>
      <c r="AB327" s="129"/>
      <c r="AC327" s="129"/>
      <c r="AD327" s="129">
        <v>1636</v>
      </c>
      <c r="AE327" s="129"/>
      <c r="AF327" s="129"/>
      <c r="AG327" s="129"/>
      <c r="AH327" s="129"/>
      <c r="AI327" s="129">
        <v>0</v>
      </c>
      <c r="AJ327" s="129"/>
      <c r="AK327" s="129"/>
    </row>
    <row r="328" spans="3:37" ht="14.85" customHeight="1" x14ac:dyDescent="0.15">
      <c r="C328" s="132">
        <v>44397</v>
      </c>
      <c r="D328" s="132"/>
      <c r="E328" s="132">
        <v>44398</v>
      </c>
      <c r="F328" s="132"/>
      <c r="G328" s="132"/>
      <c r="H328" s="132"/>
      <c r="I328" s="133" t="s">
        <v>621</v>
      </c>
      <c r="J328" s="133"/>
      <c r="K328" s="133"/>
      <c r="L328" s="133"/>
      <c r="M328" s="133"/>
      <c r="N328" s="134" t="s">
        <v>687</v>
      </c>
      <c r="O328" s="134"/>
      <c r="P328" s="134" t="s">
        <v>681</v>
      </c>
      <c r="Q328" s="134"/>
      <c r="R328" s="134"/>
      <c r="S328" s="134"/>
      <c r="T328" s="135">
        <v>1168119477</v>
      </c>
      <c r="U328" s="135"/>
      <c r="V328" s="136" t="s">
        <v>618</v>
      </c>
      <c r="W328" s="136"/>
      <c r="X328" s="129">
        <v>700</v>
      </c>
      <c r="Y328" s="129"/>
      <c r="Z328" s="129">
        <v>700</v>
      </c>
      <c r="AA328" s="129"/>
      <c r="AB328" s="129"/>
      <c r="AC328" s="129"/>
      <c r="AD328" s="129">
        <v>0</v>
      </c>
      <c r="AE328" s="129"/>
      <c r="AF328" s="129"/>
      <c r="AG328" s="129"/>
      <c r="AH328" s="129"/>
      <c r="AI328" s="129">
        <v>0</v>
      </c>
      <c r="AJ328" s="129"/>
      <c r="AK328" s="129"/>
    </row>
    <row r="329" spans="3:37" ht="14.85" customHeight="1" x14ac:dyDescent="0.15">
      <c r="C329" s="132">
        <v>44397</v>
      </c>
      <c r="D329" s="132"/>
      <c r="E329" s="132">
        <v>44398</v>
      </c>
      <c r="F329" s="132"/>
      <c r="G329" s="132"/>
      <c r="H329" s="132"/>
      <c r="I329" s="133" t="s">
        <v>621</v>
      </c>
      <c r="J329" s="133"/>
      <c r="K329" s="133"/>
      <c r="L329" s="133"/>
      <c r="M329" s="133"/>
      <c r="N329" s="134" t="s">
        <v>687</v>
      </c>
      <c r="O329" s="134"/>
      <c r="P329" s="134" t="s">
        <v>681</v>
      </c>
      <c r="Q329" s="134"/>
      <c r="R329" s="134"/>
      <c r="S329" s="134"/>
      <c r="T329" s="135">
        <v>1168119477</v>
      </c>
      <c r="U329" s="135"/>
      <c r="V329" s="136" t="s">
        <v>618</v>
      </c>
      <c r="W329" s="136"/>
      <c r="X329" s="129">
        <v>700</v>
      </c>
      <c r="Y329" s="129"/>
      <c r="Z329" s="129">
        <v>700</v>
      </c>
      <c r="AA329" s="129"/>
      <c r="AB329" s="129"/>
      <c r="AC329" s="129"/>
      <c r="AD329" s="129">
        <v>0</v>
      </c>
      <c r="AE329" s="129"/>
      <c r="AF329" s="129"/>
      <c r="AG329" s="129"/>
      <c r="AH329" s="129"/>
      <c r="AI329" s="129">
        <v>0</v>
      </c>
      <c r="AJ329" s="129"/>
      <c r="AK329" s="129"/>
    </row>
    <row r="330" spans="3:37" ht="14.85" customHeight="1" x14ac:dyDescent="0.15">
      <c r="C330" s="132">
        <v>44397</v>
      </c>
      <c r="D330" s="132"/>
      <c r="E330" s="132">
        <v>44398</v>
      </c>
      <c r="F330" s="132"/>
      <c r="G330" s="132"/>
      <c r="H330" s="132"/>
      <c r="I330" s="133" t="s">
        <v>621</v>
      </c>
      <c r="J330" s="133"/>
      <c r="K330" s="133"/>
      <c r="L330" s="133"/>
      <c r="M330" s="133"/>
      <c r="N330" s="134" t="s">
        <v>687</v>
      </c>
      <c r="O330" s="134"/>
      <c r="P330" s="134" t="s">
        <v>681</v>
      </c>
      <c r="Q330" s="134"/>
      <c r="R330" s="134"/>
      <c r="S330" s="134"/>
      <c r="T330" s="135">
        <v>1168119477</v>
      </c>
      <c r="U330" s="135"/>
      <c r="V330" s="136" t="s">
        <v>618</v>
      </c>
      <c r="W330" s="136"/>
      <c r="X330" s="129">
        <v>700</v>
      </c>
      <c r="Y330" s="129"/>
      <c r="Z330" s="129">
        <v>700</v>
      </c>
      <c r="AA330" s="129"/>
      <c r="AB330" s="129"/>
      <c r="AC330" s="129"/>
      <c r="AD330" s="129">
        <v>0</v>
      </c>
      <c r="AE330" s="129"/>
      <c r="AF330" s="129"/>
      <c r="AG330" s="129"/>
      <c r="AH330" s="129"/>
      <c r="AI330" s="129">
        <v>0</v>
      </c>
      <c r="AJ330" s="129"/>
      <c r="AK330" s="129"/>
    </row>
    <row r="331" spans="3:37" ht="14.85" customHeight="1" x14ac:dyDescent="0.15">
      <c r="C331" s="132">
        <v>44397</v>
      </c>
      <c r="D331" s="132"/>
      <c r="E331" s="132">
        <v>44398</v>
      </c>
      <c r="F331" s="132"/>
      <c r="G331" s="132"/>
      <c r="H331" s="132"/>
      <c r="I331" s="133" t="s">
        <v>621</v>
      </c>
      <c r="J331" s="133"/>
      <c r="K331" s="133"/>
      <c r="L331" s="133"/>
      <c r="M331" s="133"/>
      <c r="N331" s="134" t="s">
        <v>687</v>
      </c>
      <c r="O331" s="134"/>
      <c r="P331" s="134" t="s">
        <v>744</v>
      </c>
      <c r="Q331" s="134"/>
      <c r="R331" s="134"/>
      <c r="S331" s="134"/>
      <c r="T331" s="135">
        <v>3330600090</v>
      </c>
      <c r="U331" s="135"/>
      <c r="V331" s="136" t="s">
        <v>622</v>
      </c>
      <c r="W331" s="136"/>
      <c r="X331" s="129">
        <v>4500</v>
      </c>
      <c r="Y331" s="129"/>
      <c r="Z331" s="129">
        <v>4091</v>
      </c>
      <c r="AA331" s="129"/>
      <c r="AB331" s="129"/>
      <c r="AC331" s="129"/>
      <c r="AD331" s="129">
        <v>409</v>
      </c>
      <c r="AE331" s="129"/>
      <c r="AF331" s="129"/>
      <c r="AG331" s="129"/>
      <c r="AH331" s="129"/>
      <c r="AI331" s="129">
        <v>0</v>
      </c>
      <c r="AJ331" s="129"/>
      <c r="AK331" s="129"/>
    </row>
    <row r="332" spans="3:37" ht="14.85" customHeight="1" x14ac:dyDescent="0.15">
      <c r="C332" s="132">
        <v>44397</v>
      </c>
      <c r="D332" s="132"/>
      <c r="E332" s="132">
        <v>44398</v>
      </c>
      <c r="F332" s="132"/>
      <c r="G332" s="132"/>
      <c r="H332" s="132"/>
      <c r="I332" s="133" t="s">
        <v>621</v>
      </c>
      <c r="J332" s="133"/>
      <c r="K332" s="133"/>
      <c r="L332" s="133"/>
      <c r="M332" s="133"/>
      <c r="N332" s="134" t="s">
        <v>687</v>
      </c>
      <c r="O332" s="134"/>
      <c r="P332" s="134" t="s">
        <v>634</v>
      </c>
      <c r="Q332" s="134"/>
      <c r="R332" s="134"/>
      <c r="S332" s="134"/>
      <c r="T332" s="135">
        <v>1298638970</v>
      </c>
      <c r="U332" s="135"/>
      <c r="V332" s="136" t="s">
        <v>618</v>
      </c>
      <c r="W332" s="136"/>
      <c r="X332" s="129">
        <v>4900</v>
      </c>
      <c r="Y332" s="129"/>
      <c r="Z332" s="129">
        <v>4900</v>
      </c>
      <c r="AA332" s="129"/>
      <c r="AB332" s="129"/>
      <c r="AC332" s="129"/>
      <c r="AD332" s="129">
        <v>0</v>
      </c>
      <c r="AE332" s="129"/>
      <c r="AF332" s="129"/>
      <c r="AG332" s="129"/>
      <c r="AH332" s="129"/>
      <c r="AI332" s="129">
        <v>0</v>
      </c>
      <c r="AJ332" s="129"/>
      <c r="AK332" s="129"/>
    </row>
    <row r="333" spans="3:37" ht="14.85" customHeight="1" x14ac:dyDescent="0.15">
      <c r="C333" s="132">
        <v>44398</v>
      </c>
      <c r="D333" s="132"/>
      <c r="E333" s="132">
        <v>44399</v>
      </c>
      <c r="F333" s="132"/>
      <c r="G333" s="132"/>
      <c r="H333" s="132"/>
      <c r="I333" s="133" t="s">
        <v>621</v>
      </c>
      <c r="J333" s="133"/>
      <c r="K333" s="133"/>
      <c r="L333" s="133"/>
      <c r="M333" s="133"/>
      <c r="N333" s="134" t="s">
        <v>687</v>
      </c>
      <c r="O333" s="134"/>
      <c r="P333" s="134" t="s">
        <v>743</v>
      </c>
      <c r="Q333" s="134"/>
      <c r="R333" s="134"/>
      <c r="S333" s="134"/>
      <c r="T333" s="135">
        <v>7372501007</v>
      </c>
      <c r="U333" s="135"/>
      <c r="V333" s="136" t="s">
        <v>622</v>
      </c>
      <c r="W333" s="136"/>
      <c r="X333" s="129">
        <v>19400</v>
      </c>
      <c r="Y333" s="129"/>
      <c r="Z333" s="129">
        <v>17636</v>
      </c>
      <c r="AA333" s="129"/>
      <c r="AB333" s="129"/>
      <c r="AC333" s="129"/>
      <c r="AD333" s="129">
        <v>1764</v>
      </c>
      <c r="AE333" s="129"/>
      <c r="AF333" s="129"/>
      <c r="AG333" s="129"/>
      <c r="AH333" s="129"/>
      <c r="AI333" s="129">
        <v>0</v>
      </c>
      <c r="AJ333" s="129"/>
      <c r="AK333" s="129"/>
    </row>
    <row r="334" spans="3:37" ht="14.85" customHeight="1" x14ac:dyDescent="0.15">
      <c r="C334" s="132">
        <v>44399</v>
      </c>
      <c r="D334" s="132"/>
      <c r="E334" s="132">
        <v>44400</v>
      </c>
      <c r="F334" s="132"/>
      <c r="G334" s="132"/>
      <c r="H334" s="132"/>
      <c r="I334" s="133" t="s">
        <v>621</v>
      </c>
      <c r="J334" s="133"/>
      <c r="K334" s="133"/>
      <c r="L334" s="133"/>
      <c r="M334" s="133"/>
      <c r="N334" s="134" t="s">
        <v>687</v>
      </c>
      <c r="O334" s="134"/>
      <c r="P334" s="134" t="s">
        <v>694</v>
      </c>
      <c r="Q334" s="134"/>
      <c r="R334" s="134"/>
      <c r="S334" s="134"/>
      <c r="T334" s="135">
        <v>1310434836</v>
      </c>
      <c r="U334" s="135"/>
      <c r="V334" s="136" t="s">
        <v>618</v>
      </c>
      <c r="W334" s="136"/>
      <c r="X334" s="129">
        <v>4500</v>
      </c>
      <c r="Y334" s="129"/>
      <c r="Z334" s="129">
        <v>4091</v>
      </c>
      <c r="AA334" s="129"/>
      <c r="AB334" s="129"/>
      <c r="AC334" s="129"/>
      <c r="AD334" s="129">
        <v>409</v>
      </c>
      <c r="AE334" s="129"/>
      <c r="AF334" s="129"/>
      <c r="AG334" s="129"/>
      <c r="AH334" s="129"/>
      <c r="AI334" s="129">
        <v>0</v>
      </c>
      <c r="AJ334" s="129"/>
      <c r="AK334" s="129"/>
    </row>
    <row r="335" spans="3:37" ht="14.85" customHeight="1" x14ac:dyDescent="0.15">
      <c r="C335" s="132">
        <v>44400</v>
      </c>
      <c r="D335" s="132"/>
      <c r="E335" s="132">
        <v>44402</v>
      </c>
      <c r="F335" s="132"/>
      <c r="G335" s="132"/>
      <c r="H335" s="132"/>
      <c r="I335" s="133" t="s">
        <v>621</v>
      </c>
      <c r="J335" s="133"/>
      <c r="K335" s="133"/>
      <c r="L335" s="133"/>
      <c r="M335" s="133"/>
      <c r="N335" s="134" t="s">
        <v>687</v>
      </c>
      <c r="O335" s="134"/>
      <c r="P335" s="134" t="s">
        <v>692</v>
      </c>
      <c r="Q335" s="134"/>
      <c r="R335" s="134"/>
      <c r="S335" s="134"/>
      <c r="T335" s="135">
        <v>5304900441</v>
      </c>
      <c r="U335" s="135"/>
      <c r="V335" s="136" t="s">
        <v>618</v>
      </c>
      <c r="W335" s="136"/>
      <c r="X335" s="129">
        <v>4500</v>
      </c>
      <c r="Y335" s="129"/>
      <c r="Z335" s="129">
        <v>4091</v>
      </c>
      <c r="AA335" s="129"/>
      <c r="AB335" s="129"/>
      <c r="AC335" s="129"/>
      <c r="AD335" s="129">
        <v>409</v>
      </c>
      <c r="AE335" s="129"/>
      <c r="AF335" s="129"/>
      <c r="AG335" s="129"/>
      <c r="AH335" s="129"/>
      <c r="AI335" s="129">
        <v>0</v>
      </c>
      <c r="AJ335" s="129"/>
      <c r="AK335" s="129"/>
    </row>
    <row r="336" spans="3:37" ht="14.85" customHeight="1" x14ac:dyDescent="0.15">
      <c r="C336" s="132">
        <v>44401</v>
      </c>
      <c r="D336" s="132"/>
      <c r="E336" s="132">
        <v>44403</v>
      </c>
      <c r="F336" s="132"/>
      <c r="G336" s="132"/>
      <c r="H336" s="132"/>
      <c r="I336" s="133" t="s">
        <v>621</v>
      </c>
      <c r="J336" s="133"/>
      <c r="K336" s="133"/>
      <c r="L336" s="133"/>
      <c r="M336" s="133"/>
      <c r="N336" s="134" t="s">
        <v>687</v>
      </c>
      <c r="O336" s="134"/>
      <c r="P336" s="134" t="s">
        <v>692</v>
      </c>
      <c r="Q336" s="134"/>
      <c r="R336" s="134"/>
      <c r="S336" s="134"/>
      <c r="T336" s="135">
        <v>5304900441</v>
      </c>
      <c r="U336" s="135"/>
      <c r="V336" s="136" t="s">
        <v>618</v>
      </c>
      <c r="W336" s="136"/>
      <c r="X336" s="129">
        <v>4500</v>
      </c>
      <c r="Y336" s="129"/>
      <c r="Z336" s="129">
        <v>4091</v>
      </c>
      <c r="AA336" s="129"/>
      <c r="AB336" s="129"/>
      <c r="AC336" s="129"/>
      <c r="AD336" s="129">
        <v>409</v>
      </c>
      <c r="AE336" s="129"/>
      <c r="AF336" s="129"/>
      <c r="AG336" s="129"/>
      <c r="AH336" s="129"/>
      <c r="AI336" s="129">
        <v>0</v>
      </c>
      <c r="AJ336" s="129"/>
      <c r="AK336" s="129"/>
    </row>
    <row r="337" spans="3:37" ht="14.85" customHeight="1" x14ac:dyDescent="0.15">
      <c r="C337" s="132">
        <v>44401</v>
      </c>
      <c r="D337" s="132"/>
      <c r="E337" s="132">
        <v>44403</v>
      </c>
      <c r="F337" s="132"/>
      <c r="G337" s="132"/>
      <c r="H337" s="132"/>
      <c r="I337" s="133" t="s">
        <v>621</v>
      </c>
      <c r="J337" s="133"/>
      <c r="K337" s="133"/>
      <c r="L337" s="133"/>
      <c r="M337" s="133"/>
      <c r="N337" s="134" t="s">
        <v>687</v>
      </c>
      <c r="O337" s="134"/>
      <c r="P337" s="134" t="s">
        <v>681</v>
      </c>
      <c r="Q337" s="134"/>
      <c r="R337" s="134"/>
      <c r="S337" s="134"/>
      <c r="T337" s="135">
        <v>1168119477</v>
      </c>
      <c r="U337" s="135"/>
      <c r="V337" s="136" t="s">
        <v>618</v>
      </c>
      <c r="W337" s="136"/>
      <c r="X337" s="129">
        <v>700</v>
      </c>
      <c r="Y337" s="129"/>
      <c r="Z337" s="129">
        <v>700</v>
      </c>
      <c r="AA337" s="129"/>
      <c r="AB337" s="129"/>
      <c r="AC337" s="129"/>
      <c r="AD337" s="129">
        <v>0</v>
      </c>
      <c r="AE337" s="129"/>
      <c r="AF337" s="129"/>
      <c r="AG337" s="129"/>
      <c r="AH337" s="129"/>
      <c r="AI337" s="129">
        <v>0</v>
      </c>
      <c r="AJ337" s="129"/>
      <c r="AK337" s="129"/>
    </row>
    <row r="338" spans="3:37" ht="14.85" customHeight="1" x14ac:dyDescent="0.15">
      <c r="C338" s="132">
        <v>44402</v>
      </c>
      <c r="D338" s="132"/>
      <c r="E338" s="132">
        <v>44403</v>
      </c>
      <c r="F338" s="132"/>
      <c r="G338" s="132"/>
      <c r="H338" s="132"/>
      <c r="I338" s="133" t="s">
        <v>621</v>
      </c>
      <c r="J338" s="133"/>
      <c r="K338" s="133"/>
      <c r="L338" s="133"/>
      <c r="M338" s="133"/>
      <c r="N338" s="134" t="s">
        <v>687</v>
      </c>
      <c r="O338" s="134"/>
      <c r="P338" s="134" t="s">
        <v>694</v>
      </c>
      <c r="Q338" s="134"/>
      <c r="R338" s="134"/>
      <c r="S338" s="134"/>
      <c r="T338" s="135">
        <v>1310434836</v>
      </c>
      <c r="U338" s="135"/>
      <c r="V338" s="136" t="s">
        <v>618</v>
      </c>
      <c r="W338" s="136"/>
      <c r="X338" s="129">
        <v>4500</v>
      </c>
      <c r="Y338" s="129"/>
      <c r="Z338" s="129">
        <v>4091</v>
      </c>
      <c r="AA338" s="129"/>
      <c r="AB338" s="129"/>
      <c r="AC338" s="129"/>
      <c r="AD338" s="129">
        <v>409</v>
      </c>
      <c r="AE338" s="129"/>
      <c r="AF338" s="129"/>
      <c r="AG338" s="129"/>
      <c r="AH338" s="129"/>
      <c r="AI338" s="129">
        <v>0</v>
      </c>
      <c r="AJ338" s="129"/>
      <c r="AK338" s="129"/>
    </row>
    <row r="339" spans="3:37" ht="29.65" customHeight="1" x14ac:dyDescent="0.15">
      <c r="V339" s="137" t="s">
        <v>617</v>
      </c>
      <c r="W339" s="137"/>
    </row>
    <row r="340" spans="3:37" ht="14.85" customHeight="1" x14ac:dyDescent="0.15">
      <c r="C340" s="132">
        <v>44403</v>
      </c>
      <c r="D340" s="132"/>
      <c r="E340" s="132">
        <v>44404</v>
      </c>
      <c r="F340" s="132"/>
      <c r="G340" s="132"/>
      <c r="H340" s="132"/>
      <c r="I340" s="133" t="s">
        <v>621</v>
      </c>
      <c r="J340" s="133"/>
      <c r="K340" s="133"/>
      <c r="L340" s="133"/>
      <c r="M340" s="133"/>
      <c r="N340" s="134" t="s">
        <v>687</v>
      </c>
      <c r="O340" s="134"/>
      <c r="P340" s="134" t="s">
        <v>694</v>
      </c>
      <c r="Q340" s="134"/>
      <c r="R340" s="134"/>
      <c r="S340" s="134"/>
      <c r="T340" s="135">
        <v>1310434836</v>
      </c>
      <c r="U340" s="135"/>
      <c r="V340" s="136" t="s">
        <v>618</v>
      </c>
      <c r="W340" s="136"/>
      <c r="X340" s="129">
        <v>4500</v>
      </c>
      <c r="Y340" s="129"/>
      <c r="Z340" s="129">
        <v>4091</v>
      </c>
      <c r="AA340" s="129"/>
      <c r="AB340" s="129"/>
      <c r="AC340" s="129"/>
      <c r="AD340" s="129">
        <v>409</v>
      </c>
      <c r="AE340" s="129"/>
      <c r="AF340" s="129"/>
      <c r="AG340" s="129"/>
      <c r="AH340" s="129"/>
      <c r="AI340" s="129">
        <v>0</v>
      </c>
      <c r="AJ340" s="129"/>
      <c r="AK340" s="129"/>
    </row>
    <row r="341" spans="3:37" ht="14.85" customHeight="1" x14ac:dyDescent="0.15">
      <c r="C341" s="132">
        <v>44404</v>
      </c>
      <c r="D341" s="132"/>
      <c r="E341" s="132">
        <v>44405</v>
      </c>
      <c r="F341" s="132"/>
      <c r="G341" s="132"/>
      <c r="H341" s="132"/>
      <c r="I341" s="133" t="s">
        <v>621</v>
      </c>
      <c r="J341" s="133"/>
      <c r="K341" s="133"/>
      <c r="L341" s="133"/>
      <c r="M341" s="133"/>
      <c r="N341" s="134" t="s">
        <v>687</v>
      </c>
      <c r="O341" s="134"/>
      <c r="P341" s="134" t="s">
        <v>694</v>
      </c>
      <c r="Q341" s="134"/>
      <c r="R341" s="134"/>
      <c r="S341" s="134"/>
      <c r="T341" s="135">
        <v>1310434836</v>
      </c>
      <c r="U341" s="135"/>
      <c r="V341" s="136" t="s">
        <v>618</v>
      </c>
      <c r="W341" s="136"/>
      <c r="X341" s="129">
        <v>4500</v>
      </c>
      <c r="Y341" s="129"/>
      <c r="Z341" s="129">
        <v>4091</v>
      </c>
      <c r="AA341" s="129"/>
      <c r="AB341" s="129"/>
      <c r="AC341" s="129"/>
      <c r="AD341" s="129">
        <v>409</v>
      </c>
      <c r="AE341" s="129"/>
      <c r="AF341" s="129"/>
      <c r="AG341" s="129"/>
      <c r="AH341" s="129"/>
      <c r="AI341" s="129">
        <v>0</v>
      </c>
      <c r="AJ341" s="129"/>
      <c r="AK341" s="129"/>
    </row>
    <row r="342" spans="3:37" ht="14.85" customHeight="1" x14ac:dyDescent="0.15">
      <c r="C342" s="132">
        <v>44406</v>
      </c>
      <c r="D342" s="132"/>
      <c r="E342" s="132">
        <v>44407</v>
      </c>
      <c r="F342" s="132"/>
      <c r="G342" s="132"/>
      <c r="H342" s="132"/>
      <c r="I342" s="133" t="s">
        <v>621</v>
      </c>
      <c r="J342" s="133"/>
      <c r="K342" s="133"/>
      <c r="L342" s="133"/>
      <c r="M342" s="133"/>
      <c r="N342" s="134" t="s">
        <v>687</v>
      </c>
      <c r="O342" s="134"/>
      <c r="P342" s="134" t="s">
        <v>694</v>
      </c>
      <c r="Q342" s="134"/>
      <c r="R342" s="134"/>
      <c r="S342" s="134"/>
      <c r="T342" s="135">
        <v>1310434836</v>
      </c>
      <c r="U342" s="135"/>
      <c r="V342" s="136" t="s">
        <v>618</v>
      </c>
      <c r="W342" s="136"/>
      <c r="X342" s="129">
        <v>4500</v>
      </c>
      <c r="Y342" s="129"/>
      <c r="Z342" s="129">
        <v>4091</v>
      </c>
      <c r="AA342" s="129"/>
      <c r="AB342" s="129"/>
      <c r="AC342" s="129"/>
      <c r="AD342" s="129">
        <v>409</v>
      </c>
      <c r="AE342" s="129"/>
      <c r="AF342" s="129"/>
      <c r="AG342" s="129"/>
      <c r="AH342" s="129"/>
      <c r="AI342" s="129">
        <v>0</v>
      </c>
      <c r="AJ342" s="129"/>
      <c r="AK342" s="129"/>
    </row>
    <row r="343" spans="3:37" ht="14.85" customHeight="1" x14ac:dyDescent="0.15">
      <c r="C343" s="132">
        <v>44406</v>
      </c>
      <c r="D343" s="132"/>
      <c r="E343" s="132">
        <v>44407</v>
      </c>
      <c r="F343" s="132"/>
      <c r="G343" s="132"/>
      <c r="H343" s="132"/>
      <c r="I343" s="133" t="s">
        <v>621</v>
      </c>
      <c r="J343" s="133"/>
      <c r="K343" s="133"/>
      <c r="L343" s="133"/>
      <c r="M343" s="133"/>
      <c r="N343" s="134" t="s">
        <v>630</v>
      </c>
      <c r="O343" s="134"/>
      <c r="P343" s="134" t="s">
        <v>631</v>
      </c>
      <c r="Q343" s="134"/>
      <c r="R343" s="134"/>
      <c r="S343" s="134"/>
      <c r="T343" s="135">
        <v>1168119948</v>
      </c>
      <c r="U343" s="135"/>
      <c r="V343" s="136" t="s">
        <v>618</v>
      </c>
      <c r="W343" s="136"/>
      <c r="X343" s="129">
        <v>70170</v>
      </c>
      <c r="Y343" s="129"/>
      <c r="Z343" s="129">
        <v>63791</v>
      </c>
      <c r="AA343" s="129"/>
      <c r="AB343" s="129"/>
      <c r="AC343" s="129"/>
      <c r="AD343" s="129">
        <v>6379</v>
      </c>
      <c r="AE343" s="129"/>
      <c r="AF343" s="129"/>
      <c r="AG343" s="129"/>
      <c r="AH343" s="129"/>
      <c r="AI343" s="129">
        <v>0</v>
      </c>
      <c r="AJ343" s="129"/>
      <c r="AK343" s="129"/>
    </row>
    <row r="344" spans="3:37" ht="14.85" customHeight="1" x14ac:dyDescent="0.15">
      <c r="C344" s="132">
        <v>44407</v>
      </c>
      <c r="D344" s="132"/>
      <c r="E344" s="132">
        <v>44408</v>
      </c>
      <c r="F344" s="132"/>
      <c r="G344" s="132"/>
      <c r="H344" s="132"/>
      <c r="I344" s="133" t="s">
        <v>621</v>
      </c>
      <c r="J344" s="133"/>
      <c r="K344" s="133"/>
      <c r="L344" s="133"/>
      <c r="M344" s="133"/>
      <c r="N344" s="134" t="s">
        <v>687</v>
      </c>
      <c r="O344" s="134"/>
      <c r="P344" s="134" t="s">
        <v>694</v>
      </c>
      <c r="Q344" s="134"/>
      <c r="R344" s="134"/>
      <c r="S344" s="134"/>
      <c r="T344" s="135">
        <v>1310434836</v>
      </c>
      <c r="U344" s="135"/>
      <c r="V344" s="136" t="s">
        <v>618</v>
      </c>
      <c r="W344" s="136"/>
      <c r="X344" s="129">
        <v>4500</v>
      </c>
      <c r="Y344" s="129"/>
      <c r="Z344" s="129">
        <v>4091</v>
      </c>
      <c r="AA344" s="129"/>
      <c r="AB344" s="129"/>
      <c r="AC344" s="129"/>
      <c r="AD344" s="129">
        <v>409</v>
      </c>
      <c r="AE344" s="129"/>
      <c r="AF344" s="129"/>
      <c r="AG344" s="129"/>
      <c r="AH344" s="129"/>
      <c r="AI344" s="129">
        <v>0</v>
      </c>
      <c r="AJ344" s="129"/>
      <c r="AK344" s="129"/>
    </row>
    <row r="345" spans="3:37" ht="14.85" customHeight="1" x14ac:dyDescent="0.15">
      <c r="C345" s="132">
        <v>44408</v>
      </c>
      <c r="D345" s="132"/>
      <c r="E345" s="132">
        <v>44409</v>
      </c>
      <c r="F345" s="132"/>
      <c r="G345" s="132"/>
      <c r="H345" s="132"/>
      <c r="I345" s="133" t="s">
        <v>621</v>
      </c>
      <c r="J345" s="133"/>
      <c r="K345" s="133"/>
      <c r="L345" s="133"/>
      <c r="M345" s="133"/>
      <c r="N345" s="134" t="s">
        <v>687</v>
      </c>
      <c r="O345" s="134"/>
      <c r="P345" s="134" t="s">
        <v>694</v>
      </c>
      <c r="Q345" s="134"/>
      <c r="R345" s="134"/>
      <c r="S345" s="134"/>
      <c r="T345" s="135">
        <v>1310434836</v>
      </c>
      <c r="U345" s="135"/>
      <c r="V345" s="136" t="s">
        <v>618</v>
      </c>
      <c r="W345" s="136"/>
      <c r="X345" s="129">
        <v>4500</v>
      </c>
      <c r="Y345" s="129"/>
      <c r="Z345" s="129">
        <v>4091</v>
      </c>
      <c r="AA345" s="129"/>
      <c r="AB345" s="129"/>
      <c r="AC345" s="129"/>
      <c r="AD345" s="129">
        <v>409</v>
      </c>
      <c r="AE345" s="129"/>
      <c r="AF345" s="129"/>
      <c r="AG345" s="129"/>
      <c r="AH345" s="129"/>
      <c r="AI345" s="129">
        <v>0</v>
      </c>
      <c r="AJ345" s="129"/>
      <c r="AK345" s="129"/>
    </row>
    <row r="346" spans="3:37" ht="14.85" customHeight="1" x14ac:dyDescent="0.15">
      <c r="C346" s="132">
        <v>44409</v>
      </c>
      <c r="D346" s="132"/>
      <c r="E346" s="132">
        <v>44410</v>
      </c>
      <c r="F346" s="132"/>
      <c r="G346" s="132"/>
      <c r="H346" s="132"/>
      <c r="I346" s="133" t="s">
        <v>621</v>
      </c>
      <c r="J346" s="133"/>
      <c r="K346" s="133"/>
      <c r="L346" s="133"/>
      <c r="M346" s="133"/>
      <c r="N346" s="134" t="s">
        <v>630</v>
      </c>
      <c r="O346" s="134"/>
      <c r="P346" s="134" t="s">
        <v>742</v>
      </c>
      <c r="Q346" s="134"/>
      <c r="R346" s="134"/>
      <c r="S346" s="134"/>
      <c r="T346" s="135">
        <v>1138521083</v>
      </c>
      <c r="U346" s="135"/>
      <c r="V346" s="136" t="s">
        <v>618</v>
      </c>
      <c r="W346" s="136"/>
      <c r="X346" s="129">
        <v>60000</v>
      </c>
      <c r="Y346" s="129"/>
      <c r="Z346" s="129">
        <v>54545</v>
      </c>
      <c r="AA346" s="129"/>
      <c r="AB346" s="129"/>
      <c r="AC346" s="129"/>
      <c r="AD346" s="129">
        <v>5455</v>
      </c>
      <c r="AE346" s="129"/>
      <c r="AF346" s="129"/>
      <c r="AG346" s="129"/>
      <c r="AH346" s="129"/>
      <c r="AI346" s="129">
        <v>0</v>
      </c>
      <c r="AJ346" s="129"/>
      <c r="AK346" s="129"/>
    </row>
    <row r="347" spans="3:37" ht="14.85" customHeight="1" x14ac:dyDescent="0.15">
      <c r="C347" s="132">
        <v>44377</v>
      </c>
      <c r="D347" s="132"/>
      <c r="E347" s="132">
        <v>44411</v>
      </c>
      <c r="F347" s="132"/>
      <c r="G347" s="132"/>
      <c r="H347" s="132"/>
      <c r="I347" s="133" t="s">
        <v>621</v>
      </c>
      <c r="J347" s="133"/>
      <c r="K347" s="133"/>
      <c r="L347" s="133"/>
      <c r="M347" s="133"/>
      <c r="N347" s="134" t="s">
        <v>687</v>
      </c>
      <c r="O347" s="134"/>
      <c r="P347" s="134" t="s">
        <v>741</v>
      </c>
      <c r="Q347" s="134"/>
      <c r="R347" s="134"/>
      <c r="S347" s="134"/>
      <c r="T347" s="135">
        <v>1048183559</v>
      </c>
      <c r="U347" s="135"/>
      <c r="V347" s="136" t="s">
        <v>618</v>
      </c>
      <c r="W347" s="136"/>
      <c r="X347" s="129">
        <v>2500</v>
      </c>
      <c r="Y347" s="129"/>
      <c r="Z347" s="129">
        <v>2500</v>
      </c>
      <c r="AA347" s="129"/>
      <c r="AB347" s="129"/>
      <c r="AC347" s="129"/>
      <c r="AD347" s="129">
        <v>0</v>
      </c>
      <c r="AE347" s="129"/>
      <c r="AF347" s="129"/>
      <c r="AG347" s="129"/>
      <c r="AH347" s="129"/>
      <c r="AI347" s="129">
        <v>0</v>
      </c>
      <c r="AJ347" s="129"/>
      <c r="AK347" s="129"/>
    </row>
    <row r="348" spans="3:37" ht="14.85" customHeight="1" x14ac:dyDescent="0.15">
      <c r="C348" s="132">
        <v>44410</v>
      </c>
      <c r="D348" s="132"/>
      <c r="E348" s="132">
        <v>44411</v>
      </c>
      <c r="F348" s="132"/>
      <c r="G348" s="132"/>
      <c r="H348" s="132"/>
      <c r="I348" s="133" t="s">
        <v>621</v>
      </c>
      <c r="J348" s="133"/>
      <c r="K348" s="133"/>
      <c r="L348" s="133"/>
      <c r="M348" s="133"/>
      <c r="N348" s="134" t="s">
        <v>687</v>
      </c>
      <c r="O348" s="134"/>
      <c r="P348" s="134" t="s">
        <v>681</v>
      </c>
      <c r="Q348" s="134"/>
      <c r="R348" s="134"/>
      <c r="S348" s="134"/>
      <c r="T348" s="135">
        <v>1168119477</v>
      </c>
      <c r="U348" s="135"/>
      <c r="V348" s="136" t="s">
        <v>618</v>
      </c>
      <c r="W348" s="136"/>
      <c r="X348" s="129">
        <v>700</v>
      </c>
      <c r="Y348" s="129"/>
      <c r="Z348" s="129">
        <v>700</v>
      </c>
      <c r="AA348" s="129"/>
      <c r="AB348" s="129"/>
      <c r="AC348" s="129"/>
      <c r="AD348" s="129">
        <v>0</v>
      </c>
      <c r="AE348" s="129"/>
      <c r="AF348" s="129"/>
      <c r="AG348" s="129"/>
      <c r="AH348" s="129"/>
      <c r="AI348" s="129">
        <v>0</v>
      </c>
      <c r="AJ348" s="129"/>
      <c r="AK348" s="129"/>
    </row>
    <row r="349" spans="3:37" ht="14.85" customHeight="1" x14ac:dyDescent="0.15">
      <c r="C349" s="132">
        <v>44410</v>
      </c>
      <c r="D349" s="132"/>
      <c r="E349" s="132">
        <v>44411</v>
      </c>
      <c r="F349" s="132"/>
      <c r="G349" s="132"/>
      <c r="H349" s="132"/>
      <c r="I349" s="133" t="s">
        <v>621</v>
      </c>
      <c r="J349" s="133"/>
      <c r="K349" s="133"/>
      <c r="L349" s="133"/>
      <c r="M349" s="133"/>
      <c r="N349" s="134" t="s">
        <v>687</v>
      </c>
      <c r="O349" s="134"/>
      <c r="P349" s="134" t="s">
        <v>694</v>
      </c>
      <c r="Q349" s="134"/>
      <c r="R349" s="134"/>
      <c r="S349" s="134"/>
      <c r="T349" s="135">
        <v>1310434836</v>
      </c>
      <c r="U349" s="135"/>
      <c r="V349" s="136" t="s">
        <v>618</v>
      </c>
      <c r="W349" s="136"/>
      <c r="X349" s="129">
        <v>4500</v>
      </c>
      <c r="Y349" s="129"/>
      <c r="Z349" s="129">
        <v>4091</v>
      </c>
      <c r="AA349" s="129"/>
      <c r="AB349" s="129"/>
      <c r="AC349" s="129"/>
      <c r="AD349" s="129">
        <v>409</v>
      </c>
      <c r="AE349" s="129"/>
      <c r="AF349" s="129"/>
      <c r="AG349" s="129"/>
      <c r="AH349" s="129"/>
      <c r="AI349" s="129">
        <v>0</v>
      </c>
      <c r="AJ349" s="129"/>
      <c r="AK349" s="129"/>
    </row>
    <row r="350" spans="3:37" ht="14.85" customHeight="1" x14ac:dyDescent="0.15">
      <c r="C350" s="132">
        <v>44377</v>
      </c>
      <c r="D350" s="132"/>
      <c r="E350" s="132">
        <v>44411</v>
      </c>
      <c r="F350" s="132"/>
      <c r="G350" s="132"/>
      <c r="H350" s="132"/>
      <c r="I350" s="133" t="s">
        <v>621</v>
      </c>
      <c r="J350" s="133"/>
      <c r="K350" s="133"/>
      <c r="L350" s="133"/>
      <c r="M350" s="133"/>
      <c r="N350" s="134" t="s">
        <v>620</v>
      </c>
      <c r="O350" s="134"/>
      <c r="P350" s="134" t="s">
        <v>640</v>
      </c>
      <c r="Q350" s="134"/>
      <c r="R350" s="134"/>
      <c r="S350" s="134"/>
      <c r="T350" s="135">
        <v>2028148079</v>
      </c>
      <c r="U350" s="135"/>
      <c r="V350" s="136" t="s">
        <v>618</v>
      </c>
      <c r="W350" s="136"/>
      <c r="X350" s="129">
        <v>200</v>
      </c>
      <c r="Y350" s="129"/>
      <c r="Z350" s="129">
        <v>200</v>
      </c>
      <c r="AA350" s="129"/>
      <c r="AB350" s="129"/>
      <c r="AC350" s="129"/>
      <c r="AD350" s="129">
        <v>0</v>
      </c>
      <c r="AE350" s="129"/>
      <c r="AF350" s="129"/>
      <c r="AG350" s="129"/>
      <c r="AH350" s="129"/>
      <c r="AI350" s="129">
        <v>0</v>
      </c>
      <c r="AJ350" s="129"/>
      <c r="AK350" s="129"/>
    </row>
    <row r="351" spans="3:37" ht="14.85" customHeight="1" x14ac:dyDescent="0.15">
      <c r="C351" s="132">
        <v>44411</v>
      </c>
      <c r="D351" s="132"/>
      <c r="E351" s="132">
        <v>44412</v>
      </c>
      <c r="F351" s="132"/>
      <c r="G351" s="132"/>
      <c r="H351" s="132"/>
      <c r="I351" s="133" t="s">
        <v>621</v>
      </c>
      <c r="J351" s="133"/>
      <c r="K351" s="133"/>
      <c r="L351" s="133"/>
      <c r="M351" s="133"/>
      <c r="N351" s="134" t="s">
        <v>687</v>
      </c>
      <c r="O351" s="134"/>
      <c r="P351" s="134" t="s">
        <v>740</v>
      </c>
      <c r="Q351" s="134"/>
      <c r="R351" s="134"/>
      <c r="S351" s="134"/>
      <c r="T351" s="135">
        <v>2080442562</v>
      </c>
      <c r="U351" s="135"/>
      <c r="V351" s="136" t="s">
        <v>618</v>
      </c>
      <c r="W351" s="136"/>
      <c r="X351" s="129">
        <v>13800</v>
      </c>
      <c r="Y351" s="129"/>
      <c r="Z351" s="129">
        <v>12545</v>
      </c>
      <c r="AA351" s="129"/>
      <c r="AB351" s="129"/>
      <c r="AC351" s="129"/>
      <c r="AD351" s="129">
        <v>1255</v>
      </c>
      <c r="AE351" s="129"/>
      <c r="AF351" s="129"/>
      <c r="AG351" s="129"/>
      <c r="AH351" s="129"/>
      <c r="AI351" s="129">
        <v>0</v>
      </c>
      <c r="AJ351" s="129"/>
      <c r="AK351" s="129"/>
    </row>
    <row r="352" spans="3:37" ht="14.85" customHeight="1" x14ac:dyDescent="0.15">
      <c r="C352" s="132">
        <v>44411</v>
      </c>
      <c r="D352" s="132"/>
      <c r="E352" s="132">
        <v>44413</v>
      </c>
      <c r="F352" s="132"/>
      <c r="G352" s="132"/>
      <c r="H352" s="132"/>
      <c r="I352" s="133" t="s">
        <v>621</v>
      </c>
      <c r="J352" s="133"/>
      <c r="K352" s="133"/>
      <c r="L352" s="133"/>
      <c r="M352" s="133"/>
      <c r="N352" s="134" t="s">
        <v>687</v>
      </c>
      <c r="O352" s="134"/>
      <c r="P352" s="134" t="s">
        <v>692</v>
      </c>
      <c r="Q352" s="134"/>
      <c r="R352" s="134"/>
      <c r="S352" s="134"/>
      <c r="T352" s="135">
        <v>5304900441</v>
      </c>
      <c r="U352" s="135"/>
      <c r="V352" s="136" t="s">
        <v>618</v>
      </c>
      <c r="W352" s="136"/>
      <c r="X352" s="129">
        <v>4500</v>
      </c>
      <c r="Y352" s="129"/>
      <c r="Z352" s="129">
        <v>4091</v>
      </c>
      <c r="AA352" s="129"/>
      <c r="AB352" s="129"/>
      <c r="AC352" s="129"/>
      <c r="AD352" s="129">
        <v>409</v>
      </c>
      <c r="AE352" s="129"/>
      <c r="AF352" s="129"/>
      <c r="AG352" s="129"/>
      <c r="AH352" s="129"/>
      <c r="AI352" s="129">
        <v>0</v>
      </c>
      <c r="AJ352" s="129"/>
      <c r="AK352" s="129"/>
    </row>
    <row r="353" spans="3:37" ht="14.85" customHeight="1" x14ac:dyDescent="0.15">
      <c r="C353" s="132">
        <v>44412</v>
      </c>
      <c r="D353" s="132"/>
      <c r="E353" s="132">
        <v>44413</v>
      </c>
      <c r="F353" s="132"/>
      <c r="G353" s="132"/>
      <c r="H353" s="132"/>
      <c r="I353" s="133" t="s">
        <v>621</v>
      </c>
      <c r="J353" s="133"/>
      <c r="K353" s="133"/>
      <c r="L353" s="133"/>
      <c r="M353" s="133"/>
      <c r="N353" s="134" t="s">
        <v>687</v>
      </c>
      <c r="O353" s="134"/>
      <c r="P353" s="134" t="s">
        <v>694</v>
      </c>
      <c r="Q353" s="134"/>
      <c r="R353" s="134"/>
      <c r="S353" s="134"/>
      <c r="T353" s="135">
        <v>1310434836</v>
      </c>
      <c r="U353" s="135"/>
      <c r="V353" s="136" t="s">
        <v>618</v>
      </c>
      <c r="W353" s="136"/>
      <c r="X353" s="129">
        <v>4500</v>
      </c>
      <c r="Y353" s="129"/>
      <c r="Z353" s="129">
        <v>4091</v>
      </c>
      <c r="AA353" s="129"/>
      <c r="AB353" s="129"/>
      <c r="AC353" s="129"/>
      <c r="AD353" s="129">
        <v>409</v>
      </c>
      <c r="AE353" s="129"/>
      <c r="AF353" s="129"/>
      <c r="AG353" s="129"/>
      <c r="AH353" s="129"/>
      <c r="AI353" s="129">
        <v>0</v>
      </c>
      <c r="AJ353" s="129"/>
      <c r="AK353" s="129"/>
    </row>
    <row r="354" spans="3:37" ht="14.85" customHeight="1" x14ac:dyDescent="0.15">
      <c r="C354" s="132">
        <v>44412</v>
      </c>
      <c r="D354" s="132"/>
      <c r="E354" s="132">
        <v>44413</v>
      </c>
      <c r="F354" s="132"/>
      <c r="G354" s="132"/>
      <c r="H354" s="132"/>
      <c r="I354" s="133" t="s">
        <v>621</v>
      </c>
      <c r="J354" s="133"/>
      <c r="K354" s="133"/>
      <c r="L354" s="133"/>
      <c r="M354" s="133"/>
      <c r="N354" s="134" t="s">
        <v>687</v>
      </c>
      <c r="O354" s="134"/>
      <c r="P354" s="134" t="s">
        <v>739</v>
      </c>
      <c r="Q354" s="134"/>
      <c r="R354" s="134"/>
      <c r="S354" s="134"/>
      <c r="T354" s="135">
        <v>2178114493</v>
      </c>
      <c r="U354" s="135"/>
      <c r="V354" s="136" t="s">
        <v>618</v>
      </c>
      <c r="W354" s="136"/>
      <c r="X354" s="129">
        <v>2100</v>
      </c>
      <c r="Y354" s="129"/>
      <c r="Z354" s="129">
        <v>2100</v>
      </c>
      <c r="AA354" s="129"/>
      <c r="AB354" s="129"/>
      <c r="AC354" s="129"/>
      <c r="AD354" s="129">
        <v>0</v>
      </c>
      <c r="AE354" s="129"/>
      <c r="AF354" s="129"/>
      <c r="AG354" s="129"/>
      <c r="AH354" s="129"/>
      <c r="AI354" s="129">
        <v>0</v>
      </c>
      <c r="AJ354" s="129"/>
      <c r="AK354" s="129"/>
    </row>
    <row r="355" spans="3:37" ht="14.85" customHeight="1" x14ac:dyDescent="0.15">
      <c r="C355" s="132">
        <v>44415</v>
      </c>
      <c r="D355" s="132"/>
      <c r="E355" s="132">
        <v>44416</v>
      </c>
      <c r="F355" s="132"/>
      <c r="G355" s="132"/>
      <c r="H355" s="132"/>
      <c r="I355" s="133" t="s">
        <v>621</v>
      </c>
      <c r="J355" s="133"/>
      <c r="K355" s="133"/>
      <c r="L355" s="133"/>
      <c r="M355" s="133"/>
      <c r="N355" s="134" t="s">
        <v>687</v>
      </c>
      <c r="O355" s="134"/>
      <c r="P355" s="134" t="s">
        <v>697</v>
      </c>
      <c r="Q355" s="134"/>
      <c r="R355" s="134"/>
      <c r="S355" s="134"/>
      <c r="T355" s="135">
        <v>5990701264</v>
      </c>
      <c r="U355" s="135"/>
      <c r="V355" s="136" t="s">
        <v>622</v>
      </c>
      <c r="W355" s="136"/>
      <c r="X355" s="129">
        <v>4500</v>
      </c>
      <c r="Y355" s="129"/>
      <c r="Z355" s="129">
        <v>4091</v>
      </c>
      <c r="AA355" s="129"/>
      <c r="AB355" s="129"/>
      <c r="AC355" s="129"/>
      <c r="AD355" s="129">
        <v>409</v>
      </c>
      <c r="AE355" s="129"/>
      <c r="AF355" s="129"/>
      <c r="AG355" s="129"/>
      <c r="AH355" s="129"/>
      <c r="AI355" s="129">
        <v>0</v>
      </c>
      <c r="AJ355" s="129"/>
      <c r="AK355" s="129"/>
    </row>
    <row r="356" spans="3:37" ht="14.85" customHeight="1" x14ac:dyDescent="0.15">
      <c r="C356" s="132">
        <v>44414</v>
      </c>
      <c r="D356" s="132"/>
      <c r="E356" s="132">
        <v>44416</v>
      </c>
      <c r="F356" s="132"/>
      <c r="G356" s="132"/>
      <c r="H356" s="132"/>
      <c r="I356" s="133" t="s">
        <v>621</v>
      </c>
      <c r="J356" s="133"/>
      <c r="K356" s="133"/>
      <c r="L356" s="133"/>
      <c r="M356" s="133"/>
      <c r="N356" s="134" t="s">
        <v>687</v>
      </c>
      <c r="O356" s="134"/>
      <c r="P356" s="134" t="s">
        <v>692</v>
      </c>
      <c r="Q356" s="134"/>
      <c r="R356" s="134"/>
      <c r="S356" s="134"/>
      <c r="T356" s="135">
        <v>5304900441</v>
      </c>
      <c r="U356" s="135"/>
      <c r="V356" s="136" t="s">
        <v>618</v>
      </c>
      <c r="W356" s="136"/>
      <c r="X356" s="129">
        <v>4500</v>
      </c>
      <c r="Y356" s="129"/>
      <c r="Z356" s="129">
        <v>4091</v>
      </c>
      <c r="AA356" s="129"/>
      <c r="AB356" s="129"/>
      <c r="AC356" s="129"/>
      <c r="AD356" s="129">
        <v>409</v>
      </c>
      <c r="AE356" s="129"/>
      <c r="AF356" s="129"/>
      <c r="AG356" s="129"/>
      <c r="AH356" s="129"/>
      <c r="AI356" s="129">
        <v>0</v>
      </c>
      <c r="AJ356" s="129"/>
      <c r="AK356" s="129"/>
    </row>
    <row r="357" spans="3:37" ht="14.85" customHeight="1" x14ac:dyDescent="0.15">
      <c r="C357" s="132">
        <v>44416</v>
      </c>
      <c r="D357" s="132"/>
      <c r="E357" s="132">
        <v>44417</v>
      </c>
      <c r="F357" s="132"/>
      <c r="G357" s="132"/>
      <c r="H357" s="132"/>
      <c r="I357" s="133" t="s">
        <v>621</v>
      </c>
      <c r="J357" s="133"/>
      <c r="K357" s="133"/>
      <c r="L357" s="133"/>
      <c r="M357" s="133"/>
      <c r="N357" s="134" t="s">
        <v>687</v>
      </c>
      <c r="O357" s="134"/>
      <c r="P357" s="134" t="s">
        <v>738</v>
      </c>
      <c r="Q357" s="134"/>
      <c r="R357" s="134"/>
      <c r="S357" s="134"/>
      <c r="T357" s="135">
        <v>1219089190</v>
      </c>
      <c r="U357" s="135"/>
      <c r="V357" s="136" t="s">
        <v>626</v>
      </c>
      <c r="W357" s="136"/>
      <c r="X357" s="129">
        <v>30000</v>
      </c>
      <c r="Y357" s="129"/>
      <c r="Z357" s="129">
        <v>30000</v>
      </c>
      <c r="AA357" s="129"/>
      <c r="AB357" s="129"/>
      <c r="AC357" s="129"/>
      <c r="AD357" s="129">
        <v>0</v>
      </c>
      <c r="AE357" s="129"/>
      <c r="AF357" s="129"/>
      <c r="AG357" s="129"/>
      <c r="AH357" s="129"/>
      <c r="AI357" s="129">
        <v>0</v>
      </c>
      <c r="AJ357" s="129"/>
      <c r="AK357" s="129"/>
    </row>
    <row r="358" spans="3:37" ht="14.85" customHeight="1" x14ac:dyDescent="0.15">
      <c r="C358" s="132">
        <v>44415</v>
      </c>
      <c r="D358" s="132"/>
      <c r="E358" s="132">
        <v>44417</v>
      </c>
      <c r="F358" s="132"/>
      <c r="G358" s="132"/>
      <c r="H358" s="132"/>
      <c r="I358" s="133" t="s">
        <v>621</v>
      </c>
      <c r="J358" s="133"/>
      <c r="K358" s="133"/>
      <c r="L358" s="133"/>
      <c r="M358" s="133"/>
      <c r="N358" s="134" t="s">
        <v>687</v>
      </c>
      <c r="O358" s="134"/>
      <c r="P358" s="134" t="s">
        <v>692</v>
      </c>
      <c r="Q358" s="134"/>
      <c r="R358" s="134"/>
      <c r="S358" s="134"/>
      <c r="T358" s="135">
        <v>5304900441</v>
      </c>
      <c r="U358" s="135"/>
      <c r="V358" s="136" t="s">
        <v>618</v>
      </c>
      <c r="W358" s="136"/>
      <c r="X358" s="129">
        <v>4500</v>
      </c>
      <c r="Y358" s="129"/>
      <c r="Z358" s="129">
        <v>4091</v>
      </c>
      <c r="AA358" s="129"/>
      <c r="AB358" s="129"/>
      <c r="AC358" s="129"/>
      <c r="AD358" s="129">
        <v>409</v>
      </c>
      <c r="AE358" s="129"/>
      <c r="AF358" s="129"/>
      <c r="AG358" s="129"/>
      <c r="AH358" s="129"/>
      <c r="AI358" s="129">
        <v>0</v>
      </c>
      <c r="AJ358" s="129"/>
      <c r="AK358" s="129"/>
    </row>
    <row r="359" spans="3:37" ht="14.85" customHeight="1" x14ac:dyDescent="0.15">
      <c r="C359" s="132">
        <v>44416</v>
      </c>
      <c r="D359" s="132"/>
      <c r="E359" s="132">
        <v>44417</v>
      </c>
      <c r="F359" s="132"/>
      <c r="G359" s="132"/>
      <c r="H359" s="132"/>
      <c r="I359" s="133" t="s">
        <v>621</v>
      </c>
      <c r="J359" s="133"/>
      <c r="K359" s="133"/>
      <c r="L359" s="133"/>
      <c r="M359" s="133"/>
      <c r="N359" s="134" t="s">
        <v>687</v>
      </c>
      <c r="O359" s="134"/>
      <c r="P359" s="134" t="s">
        <v>673</v>
      </c>
      <c r="Q359" s="134"/>
      <c r="R359" s="134"/>
      <c r="S359" s="134"/>
      <c r="T359" s="135">
        <v>1318553360</v>
      </c>
      <c r="U359" s="135"/>
      <c r="V359" s="136" t="s">
        <v>618</v>
      </c>
      <c r="W359" s="136"/>
      <c r="X359" s="129">
        <v>19630</v>
      </c>
      <c r="Y359" s="129"/>
      <c r="Z359" s="129">
        <v>18929</v>
      </c>
      <c r="AA359" s="129"/>
      <c r="AB359" s="129"/>
      <c r="AC359" s="129"/>
      <c r="AD359" s="129">
        <v>701</v>
      </c>
      <c r="AE359" s="129"/>
      <c r="AF359" s="129"/>
      <c r="AG359" s="129"/>
      <c r="AH359" s="129"/>
      <c r="AI359" s="129">
        <v>0</v>
      </c>
      <c r="AJ359" s="129"/>
      <c r="AK359" s="129"/>
    </row>
    <row r="360" spans="3:37" ht="14.85" customHeight="1" x14ac:dyDescent="0.15">
      <c r="C360" s="132">
        <v>44416</v>
      </c>
      <c r="D360" s="132"/>
      <c r="E360" s="132">
        <v>44417</v>
      </c>
      <c r="F360" s="132"/>
      <c r="G360" s="132"/>
      <c r="H360" s="132"/>
      <c r="I360" s="133" t="s">
        <v>621</v>
      </c>
      <c r="J360" s="133"/>
      <c r="K360" s="133"/>
      <c r="L360" s="133"/>
      <c r="M360" s="133"/>
      <c r="N360" s="134" t="s">
        <v>687</v>
      </c>
      <c r="O360" s="134"/>
      <c r="P360" s="134" t="s">
        <v>673</v>
      </c>
      <c r="Q360" s="134"/>
      <c r="R360" s="134"/>
      <c r="S360" s="134"/>
      <c r="T360" s="135">
        <v>1318553360</v>
      </c>
      <c r="U360" s="135"/>
      <c r="V360" s="136" t="s">
        <v>618</v>
      </c>
      <c r="W360" s="136"/>
      <c r="X360" s="129">
        <v>3950</v>
      </c>
      <c r="Y360" s="129"/>
      <c r="Z360" s="129">
        <v>3591</v>
      </c>
      <c r="AA360" s="129"/>
      <c r="AB360" s="129"/>
      <c r="AC360" s="129"/>
      <c r="AD360" s="129">
        <v>359</v>
      </c>
      <c r="AE360" s="129"/>
      <c r="AF360" s="129"/>
      <c r="AG360" s="129"/>
      <c r="AH360" s="129"/>
      <c r="AI360" s="129">
        <v>0</v>
      </c>
      <c r="AJ360" s="129"/>
      <c r="AK360" s="129"/>
    </row>
    <row r="361" spans="3:37" ht="14.85" customHeight="1" x14ac:dyDescent="0.15">
      <c r="C361" s="132">
        <v>44416</v>
      </c>
      <c r="D361" s="132"/>
      <c r="E361" s="132">
        <v>44417</v>
      </c>
      <c r="F361" s="132"/>
      <c r="G361" s="132"/>
      <c r="H361" s="132"/>
      <c r="I361" s="133" t="s">
        <v>621</v>
      </c>
      <c r="J361" s="133"/>
      <c r="K361" s="133"/>
      <c r="L361" s="133"/>
      <c r="M361" s="133"/>
      <c r="N361" s="134" t="s">
        <v>687</v>
      </c>
      <c r="O361" s="134"/>
      <c r="P361" s="134" t="s">
        <v>699</v>
      </c>
      <c r="Q361" s="134"/>
      <c r="R361" s="134"/>
      <c r="S361" s="134"/>
      <c r="T361" s="135">
        <v>3021040377</v>
      </c>
      <c r="U361" s="135"/>
      <c r="V361" s="136" t="s">
        <v>622</v>
      </c>
      <c r="W361" s="136"/>
      <c r="X361" s="129">
        <v>7200</v>
      </c>
      <c r="Y361" s="129"/>
      <c r="Z361" s="129">
        <v>6546</v>
      </c>
      <c r="AA361" s="129"/>
      <c r="AB361" s="129"/>
      <c r="AC361" s="129"/>
      <c r="AD361" s="129">
        <v>654</v>
      </c>
      <c r="AE361" s="129"/>
      <c r="AF361" s="129"/>
      <c r="AG361" s="129"/>
      <c r="AH361" s="129"/>
      <c r="AI361" s="129">
        <v>0</v>
      </c>
      <c r="AJ361" s="129"/>
      <c r="AK361" s="129"/>
    </row>
    <row r="362" spans="3:37" ht="14.85" customHeight="1" x14ac:dyDescent="0.15">
      <c r="C362" s="132">
        <v>44421</v>
      </c>
      <c r="D362" s="132"/>
      <c r="E362" s="132">
        <v>44418</v>
      </c>
      <c r="F362" s="132"/>
      <c r="G362" s="132"/>
      <c r="H362" s="132"/>
      <c r="I362" s="133" t="s">
        <v>621</v>
      </c>
      <c r="J362" s="133"/>
      <c r="K362" s="133"/>
      <c r="L362" s="133"/>
      <c r="M362" s="133"/>
      <c r="N362" s="134" t="s">
        <v>687</v>
      </c>
      <c r="O362" s="134"/>
      <c r="P362" s="134" t="s">
        <v>666</v>
      </c>
      <c r="Q362" s="134"/>
      <c r="R362" s="134"/>
      <c r="S362" s="134"/>
      <c r="T362" s="135">
        <v>2208139938</v>
      </c>
      <c r="U362" s="135"/>
      <c r="V362" s="136" t="s">
        <v>618</v>
      </c>
      <c r="W362" s="136"/>
      <c r="X362" s="129">
        <v>67850</v>
      </c>
      <c r="Y362" s="129"/>
      <c r="Z362" s="129">
        <v>67850</v>
      </c>
      <c r="AA362" s="129"/>
      <c r="AB362" s="129"/>
      <c r="AC362" s="129"/>
      <c r="AD362" s="129">
        <v>0</v>
      </c>
      <c r="AE362" s="129"/>
      <c r="AF362" s="129"/>
      <c r="AG362" s="129"/>
      <c r="AH362" s="129"/>
      <c r="AI362" s="129">
        <v>0</v>
      </c>
      <c r="AJ362" s="129"/>
      <c r="AK362" s="129"/>
    </row>
    <row r="363" spans="3:37" ht="14.85" customHeight="1" x14ac:dyDescent="0.15">
      <c r="C363" s="132">
        <v>44421</v>
      </c>
      <c r="D363" s="132"/>
      <c r="E363" s="132">
        <v>44418</v>
      </c>
      <c r="F363" s="132"/>
      <c r="G363" s="132"/>
      <c r="H363" s="132"/>
      <c r="I363" s="133" t="s">
        <v>621</v>
      </c>
      <c r="J363" s="133"/>
      <c r="K363" s="133"/>
      <c r="L363" s="133"/>
      <c r="M363" s="133"/>
      <c r="N363" s="134" t="s">
        <v>687</v>
      </c>
      <c r="O363" s="134"/>
      <c r="P363" s="134" t="s">
        <v>636</v>
      </c>
      <c r="Q363" s="134"/>
      <c r="R363" s="134"/>
      <c r="S363" s="134"/>
      <c r="T363" s="135">
        <v>2208139938</v>
      </c>
      <c r="U363" s="135"/>
      <c r="V363" s="136" t="s">
        <v>618</v>
      </c>
      <c r="W363" s="136"/>
      <c r="X363" s="129">
        <v>8760</v>
      </c>
      <c r="Y363" s="129"/>
      <c r="Z363" s="129">
        <v>8760</v>
      </c>
      <c r="AA363" s="129"/>
      <c r="AB363" s="129"/>
      <c r="AC363" s="129"/>
      <c r="AD363" s="129">
        <v>0</v>
      </c>
      <c r="AE363" s="129"/>
      <c r="AF363" s="129"/>
      <c r="AG363" s="129"/>
      <c r="AH363" s="129"/>
      <c r="AI363" s="129">
        <v>0</v>
      </c>
      <c r="AJ363" s="129"/>
      <c r="AK363" s="129"/>
    </row>
    <row r="364" spans="3:37" ht="14.85" customHeight="1" x14ac:dyDescent="0.15">
      <c r="C364" s="132">
        <v>44417</v>
      </c>
      <c r="D364" s="132"/>
      <c r="E364" s="132">
        <v>44418</v>
      </c>
      <c r="F364" s="132"/>
      <c r="G364" s="132"/>
      <c r="H364" s="132"/>
      <c r="I364" s="133" t="s">
        <v>621</v>
      </c>
      <c r="J364" s="133"/>
      <c r="K364" s="133"/>
      <c r="L364" s="133"/>
      <c r="M364" s="133"/>
      <c r="N364" s="134" t="s">
        <v>687</v>
      </c>
      <c r="O364" s="134"/>
      <c r="P364" s="134" t="s">
        <v>627</v>
      </c>
      <c r="Q364" s="134"/>
      <c r="R364" s="134"/>
      <c r="S364" s="134"/>
      <c r="T364" s="135">
        <v>2329300384</v>
      </c>
      <c r="U364" s="135"/>
      <c r="V364" s="136" t="s">
        <v>626</v>
      </c>
      <c r="W364" s="136"/>
      <c r="X364" s="129">
        <v>4400</v>
      </c>
      <c r="Y364" s="129"/>
      <c r="Z364" s="129">
        <v>4400</v>
      </c>
      <c r="AA364" s="129"/>
      <c r="AB364" s="129"/>
      <c r="AC364" s="129"/>
      <c r="AD364" s="129">
        <v>0</v>
      </c>
      <c r="AE364" s="129"/>
      <c r="AF364" s="129"/>
      <c r="AG364" s="129"/>
      <c r="AH364" s="129"/>
      <c r="AI364" s="129">
        <v>0</v>
      </c>
      <c r="AJ364" s="129"/>
      <c r="AK364" s="129"/>
    </row>
    <row r="365" spans="3:37" ht="14.85" customHeight="1" x14ac:dyDescent="0.15">
      <c r="C365" s="132">
        <v>44417</v>
      </c>
      <c r="D365" s="132"/>
      <c r="E365" s="132">
        <v>44418</v>
      </c>
      <c r="F365" s="132"/>
      <c r="G365" s="132"/>
      <c r="H365" s="132"/>
      <c r="I365" s="133" t="s">
        <v>621</v>
      </c>
      <c r="J365" s="133"/>
      <c r="K365" s="133"/>
      <c r="L365" s="133"/>
      <c r="M365" s="133"/>
      <c r="N365" s="134" t="s">
        <v>687</v>
      </c>
      <c r="O365" s="134"/>
      <c r="P365" s="134" t="s">
        <v>697</v>
      </c>
      <c r="Q365" s="134"/>
      <c r="R365" s="134"/>
      <c r="S365" s="134"/>
      <c r="T365" s="135">
        <v>5990701264</v>
      </c>
      <c r="U365" s="135"/>
      <c r="V365" s="136" t="s">
        <v>622</v>
      </c>
      <c r="W365" s="136"/>
      <c r="X365" s="129">
        <v>16200</v>
      </c>
      <c r="Y365" s="129"/>
      <c r="Z365" s="129">
        <v>14727</v>
      </c>
      <c r="AA365" s="129"/>
      <c r="AB365" s="129"/>
      <c r="AC365" s="129"/>
      <c r="AD365" s="129">
        <v>1473</v>
      </c>
      <c r="AE365" s="129"/>
      <c r="AF365" s="129"/>
      <c r="AG365" s="129"/>
      <c r="AH365" s="129"/>
      <c r="AI365" s="129">
        <v>0</v>
      </c>
      <c r="AJ365" s="129"/>
      <c r="AK365" s="129"/>
    </row>
    <row r="366" spans="3:37" ht="14.85" customHeight="1" x14ac:dyDescent="0.15">
      <c r="C366" s="132">
        <v>44417</v>
      </c>
      <c r="D366" s="132"/>
      <c r="E366" s="132">
        <v>44418</v>
      </c>
      <c r="F366" s="132"/>
      <c r="G366" s="132"/>
      <c r="H366" s="132"/>
      <c r="I366" s="133" t="s">
        <v>621</v>
      </c>
      <c r="J366" s="133"/>
      <c r="K366" s="133"/>
      <c r="L366" s="133"/>
      <c r="M366" s="133"/>
      <c r="N366" s="134" t="s">
        <v>687</v>
      </c>
      <c r="O366" s="134"/>
      <c r="P366" s="134" t="s">
        <v>625</v>
      </c>
      <c r="Q366" s="134"/>
      <c r="R366" s="134"/>
      <c r="S366" s="134"/>
      <c r="T366" s="135">
        <v>6073354644</v>
      </c>
      <c r="U366" s="135"/>
      <c r="V366" s="136" t="s">
        <v>618</v>
      </c>
      <c r="W366" s="136"/>
      <c r="X366" s="129">
        <v>31600</v>
      </c>
      <c r="Y366" s="129"/>
      <c r="Z366" s="129">
        <v>31600</v>
      </c>
      <c r="AA366" s="129"/>
      <c r="AB366" s="129"/>
      <c r="AC366" s="129"/>
      <c r="AD366" s="129">
        <v>0</v>
      </c>
      <c r="AE366" s="129"/>
      <c r="AF366" s="129"/>
      <c r="AG366" s="129"/>
      <c r="AH366" s="129"/>
      <c r="AI366" s="129">
        <v>0</v>
      </c>
      <c r="AJ366" s="129"/>
      <c r="AK366" s="129"/>
    </row>
    <row r="367" spans="3:37" ht="14.85" customHeight="1" x14ac:dyDescent="0.15">
      <c r="C367" s="132">
        <v>44417</v>
      </c>
      <c r="D367" s="132"/>
      <c r="E367" s="132">
        <v>44418</v>
      </c>
      <c r="F367" s="132"/>
      <c r="G367" s="132"/>
      <c r="H367" s="132"/>
      <c r="I367" s="133" t="s">
        <v>621</v>
      </c>
      <c r="J367" s="133"/>
      <c r="K367" s="133"/>
      <c r="L367" s="133"/>
      <c r="M367" s="133"/>
      <c r="N367" s="134" t="s">
        <v>687</v>
      </c>
      <c r="O367" s="134"/>
      <c r="P367" s="134" t="s">
        <v>694</v>
      </c>
      <c r="Q367" s="134"/>
      <c r="R367" s="134"/>
      <c r="S367" s="134"/>
      <c r="T367" s="135">
        <v>1310434836</v>
      </c>
      <c r="U367" s="135"/>
      <c r="V367" s="136" t="s">
        <v>618</v>
      </c>
      <c r="W367" s="136"/>
      <c r="X367" s="129">
        <v>4500</v>
      </c>
      <c r="Y367" s="129"/>
      <c r="Z367" s="129">
        <v>4091</v>
      </c>
      <c r="AA367" s="129"/>
      <c r="AB367" s="129"/>
      <c r="AC367" s="129"/>
      <c r="AD367" s="129">
        <v>409</v>
      </c>
      <c r="AE367" s="129"/>
      <c r="AF367" s="129"/>
      <c r="AG367" s="129"/>
      <c r="AH367" s="129"/>
      <c r="AI367" s="129">
        <v>0</v>
      </c>
      <c r="AJ367" s="129"/>
      <c r="AK367" s="129"/>
    </row>
    <row r="368" spans="3:37" ht="14.85" customHeight="1" x14ac:dyDescent="0.15">
      <c r="C368" s="132">
        <v>44418</v>
      </c>
      <c r="D368" s="132"/>
      <c r="E368" s="132">
        <v>44419</v>
      </c>
      <c r="F368" s="132"/>
      <c r="G368" s="132"/>
      <c r="H368" s="132"/>
      <c r="I368" s="133" t="s">
        <v>621</v>
      </c>
      <c r="J368" s="133"/>
      <c r="K368" s="133"/>
      <c r="L368" s="133"/>
      <c r="M368" s="133"/>
      <c r="N368" s="134" t="s">
        <v>687</v>
      </c>
      <c r="O368" s="134"/>
      <c r="P368" s="134" t="s">
        <v>694</v>
      </c>
      <c r="Q368" s="134"/>
      <c r="R368" s="134"/>
      <c r="S368" s="134"/>
      <c r="T368" s="135">
        <v>1310434836</v>
      </c>
      <c r="U368" s="135"/>
      <c r="V368" s="136" t="s">
        <v>618</v>
      </c>
      <c r="W368" s="136"/>
      <c r="X368" s="129">
        <v>4500</v>
      </c>
      <c r="Y368" s="129"/>
      <c r="Z368" s="129">
        <v>4091</v>
      </c>
      <c r="AA368" s="129"/>
      <c r="AB368" s="129"/>
      <c r="AC368" s="129"/>
      <c r="AD368" s="129">
        <v>409</v>
      </c>
      <c r="AE368" s="129"/>
      <c r="AF368" s="129"/>
      <c r="AG368" s="129"/>
      <c r="AH368" s="129"/>
      <c r="AI368" s="129">
        <v>0</v>
      </c>
      <c r="AJ368" s="129"/>
      <c r="AK368" s="129"/>
    </row>
    <row r="369" spans="3:37" ht="14.85" customHeight="1" x14ac:dyDescent="0.15">
      <c r="C369" s="132">
        <v>44420</v>
      </c>
      <c r="D369" s="132"/>
      <c r="E369" s="132">
        <v>44421</v>
      </c>
      <c r="F369" s="132"/>
      <c r="G369" s="132"/>
      <c r="H369" s="132"/>
      <c r="I369" s="133" t="s">
        <v>621</v>
      </c>
      <c r="J369" s="133"/>
      <c r="K369" s="133"/>
      <c r="L369" s="133"/>
      <c r="M369" s="133"/>
      <c r="N369" s="134" t="s">
        <v>687</v>
      </c>
      <c r="O369" s="134"/>
      <c r="P369" s="134" t="s">
        <v>694</v>
      </c>
      <c r="Q369" s="134"/>
      <c r="R369" s="134"/>
      <c r="S369" s="134"/>
      <c r="T369" s="135">
        <v>1310434836</v>
      </c>
      <c r="U369" s="135"/>
      <c r="V369" s="136" t="s">
        <v>618</v>
      </c>
      <c r="W369" s="136"/>
      <c r="X369" s="129">
        <v>4500</v>
      </c>
      <c r="Y369" s="129"/>
      <c r="Z369" s="129">
        <v>4091</v>
      </c>
      <c r="AA369" s="129"/>
      <c r="AB369" s="129"/>
      <c r="AC369" s="129"/>
      <c r="AD369" s="129">
        <v>409</v>
      </c>
      <c r="AE369" s="129"/>
      <c r="AF369" s="129"/>
      <c r="AG369" s="129"/>
      <c r="AH369" s="129"/>
      <c r="AI369" s="129">
        <v>0</v>
      </c>
      <c r="AJ369" s="129"/>
      <c r="AK369" s="129"/>
    </row>
    <row r="370" spans="3:37" ht="14.85" customHeight="1" x14ac:dyDescent="0.15">
      <c r="C370" s="132">
        <v>44421</v>
      </c>
      <c r="D370" s="132"/>
      <c r="E370" s="132">
        <v>44422</v>
      </c>
      <c r="F370" s="132"/>
      <c r="G370" s="132"/>
      <c r="H370" s="132"/>
      <c r="I370" s="133" t="s">
        <v>621</v>
      </c>
      <c r="J370" s="133"/>
      <c r="K370" s="133"/>
      <c r="L370" s="133"/>
      <c r="M370" s="133"/>
      <c r="N370" s="134" t="s">
        <v>687</v>
      </c>
      <c r="O370" s="134"/>
      <c r="P370" s="134" t="s">
        <v>167</v>
      </c>
      <c r="Q370" s="134"/>
      <c r="R370" s="134"/>
      <c r="S370" s="134"/>
      <c r="T370" s="135">
        <v>5151368986</v>
      </c>
      <c r="U370" s="135"/>
      <c r="V370" s="136" t="s">
        <v>618</v>
      </c>
      <c r="W370" s="136"/>
      <c r="X370" s="129">
        <v>84000</v>
      </c>
      <c r="Y370" s="129"/>
      <c r="Z370" s="129">
        <v>76371</v>
      </c>
      <c r="AA370" s="129"/>
      <c r="AB370" s="129"/>
      <c r="AC370" s="129"/>
      <c r="AD370" s="129">
        <v>7629</v>
      </c>
      <c r="AE370" s="129"/>
      <c r="AF370" s="129"/>
      <c r="AG370" s="129"/>
      <c r="AH370" s="129"/>
      <c r="AI370" s="129">
        <v>0</v>
      </c>
      <c r="AJ370" s="129"/>
      <c r="AK370" s="129"/>
    </row>
    <row r="371" spans="3:37" ht="14.85" customHeight="1" x14ac:dyDescent="0.15">
      <c r="C371" s="132">
        <v>44421</v>
      </c>
      <c r="D371" s="132"/>
      <c r="E371" s="132">
        <v>44422</v>
      </c>
      <c r="F371" s="132"/>
      <c r="G371" s="132"/>
      <c r="H371" s="132"/>
      <c r="I371" s="133" t="s">
        <v>621</v>
      </c>
      <c r="J371" s="133"/>
      <c r="K371" s="133"/>
      <c r="L371" s="133"/>
      <c r="M371" s="133"/>
      <c r="N371" s="134" t="s">
        <v>687</v>
      </c>
      <c r="O371" s="134"/>
      <c r="P371" s="134" t="s">
        <v>737</v>
      </c>
      <c r="Q371" s="134"/>
      <c r="R371" s="134"/>
      <c r="S371" s="134"/>
      <c r="T371" s="135">
        <v>4043200085</v>
      </c>
      <c r="U371" s="135"/>
      <c r="V371" s="136" t="s">
        <v>618</v>
      </c>
      <c r="W371" s="136"/>
      <c r="X371" s="129">
        <v>32840</v>
      </c>
      <c r="Y371" s="129"/>
      <c r="Z371" s="129">
        <v>29855</v>
      </c>
      <c r="AA371" s="129"/>
      <c r="AB371" s="129"/>
      <c r="AC371" s="129"/>
      <c r="AD371" s="129">
        <v>2985</v>
      </c>
      <c r="AE371" s="129"/>
      <c r="AF371" s="129"/>
      <c r="AG371" s="129"/>
      <c r="AH371" s="129"/>
      <c r="AI371" s="129">
        <v>0</v>
      </c>
      <c r="AJ371" s="129"/>
      <c r="AK371" s="129"/>
    </row>
    <row r="372" spans="3:37" ht="14.85" customHeight="1" x14ac:dyDescent="0.15">
      <c r="C372" s="132">
        <v>44423</v>
      </c>
      <c r="D372" s="132"/>
      <c r="E372" s="132">
        <v>44424</v>
      </c>
      <c r="F372" s="132"/>
      <c r="G372" s="132"/>
      <c r="H372" s="132"/>
      <c r="I372" s="133" t="s">
        <v>621</v>
      </c>
      <c r="J372" s="133"/>
      <c r="K372" s="133"/>
      <c r="L372" s="133"/>
      <c r="M372" s="133"/>
      <c r="N372" s="134" t="s">
        <v>687</v>
      </c>
      <c r="O372" s="134"/>
      <c r="P372" s="134" t="s">
        <v>694</v>
      </c>
      <c r="Q372" s="134"/>
      <c r="R372" s="134"/>
      <c r="S372" s="134"/>
      <c r="T372" s="135">
        <v>1310434836</v>
      </c>
      <c r="U372" s="135"/>
      <c r="V372" s="136" t="s">
        <v>618</v>
      </c>
      <c r="W372" s="136"/>
      <c r="X372" s="129">
        <v>4500</v>
      </c>
      <c r="Y372" s="129"/>
      <c r="Z372" s="129">
        <v>4091</v>
      </c>
      <c r="AA372" s="129"/>
      <c r="AB372" s="129"/>
      <c r="AC372" s="129"/>
      <c r="AD372" s="129">
        <v>409</v>
      </c>
      <c r="AE372" s="129"/>
      <c r="AF372" s="129"/>
      <c r="AG372" s="129"/>
      <c r="AH372" s="129"/>
      <c r="AI372" s="129">
        <v>0</v>
      </c>
      <c r="AJ372" s="129"/>
      <c r="AK372" s="129"/>
    </row>
    <row r="373" spans="3:37" ht="14.85" customHeight="1" x14ac:dyDescent="0.15">
      <c r="C373" s="132">
        <v>44424</v>
      </c>
      <c r="D373" s="132"/>
      <c r="E373" s="132">
        <v>44425</v>
      </c>
      <c r="F373" s="132"/>
      <c r="G373" s="132"/>
      <c r="H373" s="132"/>
      <c r="I373" s="133" t="s">
        <v>621</v>
      </c>
      <c r="J373" s="133"/>
      <c r="K373" s="133"/>
      <c r="L373" s="133"/>
      <c r="M373" s="133"/>
      <c r="N373" s="134" t="s">
        <v>687</v>
      </c>
      <c r="O373" s="134"/>
      <c r="P373" s="134" t="s">
        <v>694</v>
      </c>
      <c r="Q373" s="134"/>
      <c r="R373" s="134"/>
      <c r="S373" s="134"/>
      <c r="T373" s="135">
        <v>1310434836</v>
      </c>
      <c r="U373" s="135"/>
      <c r="V373" s="136" t="s">
        <v>618</v>
      </c>
      <c r="W373" s="136"/>
      <c r="X373" s="129">
        <v>4500</v>
      </c>
      <c r="Y373" s="129"/>
      <c r="Z373" s="129">
        <v>4091</v>
      </c>
      <c r="AA373" s="129"/>
      <c r="AB373" s="129"/>
      <c r="AC373" s="129"/>
      <c r="AD373" s="129">
        <v>409</v>
      </c>
      <c r="AE373" s="129"/>
      <c r="AF373" s="129"/>
      <c r="AG373" s="129"/>
      <c r="AH373" s="129"/>
      <c r="AI373" s="129">
        <v>0</v>
      </c>
      <c r="AJ373" s="129"/>
      <c r="AK373" s="129"/>
    </row>
    <row r="374" spans="3:37" ht="14.85" customHeight="1" x14ac:dyDescent="0.15">
      <c r="C374" s="132">
        <v>44425</v>
      </c>
      <c r="D374" s="132"/>
      <c r="E374" s="132">
        <v>44426</v>
      </c>
      <c r="F374" s="132"/>
      <c r="G374" s="132"/>
      <c r="H374" s="132"/>
      <c r="I374" s="133" t="s">
        <v>665</v>
      </c>
      <c r="J374" s="133"/>
      <c r="K374" s="133"/>
      <c r="L374" s="133"/>
      <c r="M374" s="133"/>
      <c r="N374" s="134" t="s">
        <v>664</v>
      </c>
      <c r="O374" s="134"/>
      <c r="P374" s="134" t="s">
        <v>736</v>
      </c>
      <c r="Q374" s="134"/>
      <c r="R374" s="134"/>
      <c r="S374" s="134"/>
      <c r="T374" s="135">
        <v>1048183559</v>
      </c>
      <c r="U374" s="135"/>
      <c r="V374" s="136" t="s">
        <v>618</v>
      </c>
      <c r="W374" s="136"/>
      <c r="X374" s="129">
        <v>9600</v>
      </c>
      <c r="Y374" s="129"/>
      <c r="Z374" s="129">
        <v>9600</v>
      </c>
      <c r="AA374" s="129"/>
      <c r="AB374" s="129"/>
      <c r="AC374" s="129"/>
      <c r="AD374" s="129">
        <v>0</v>
      </c>
      <c r="AE374" s="129"/>
      <c r="AF374" s="129"/>
      <c r="AG374" s="129"/>
      <c r="AH374" s="129"/>
      <c r="AI374" s="129">
        <v>0</v>
      </c>
      <c r="AJ374" s="129"/>
      <c r="AK374" s="129"/>
    </row>
    <row r="375" spans="3:37" ht="14.85" customHeight="1" x14ac:dyDescent="0.15">
      <c r="C375" s="132">
        <v>44421</v>
      </c>
      <c r="D375" s="132"/>
      <c r="E375" s="132">
        <v>44426</v>
      </c>
      <c r="F375" s="132"/>
      <c r="G375" s="132"/>
      <c r="H375" s="132"/>
      <c r="I375" s="133" t="s">
        <v>621</v>
      </c>
      <c r="J375" s="133"/>
      <c r="K375" s="133"/>
      <c r="L375" s="133"/>
      <c r="M375" s="133"/>
      <c r="N375" s="134" t="s">
        <v>687</v>
      </c>
      <c r="O375" s="134"/>
      <c r="P375" s="134" t="s">
        <v>735</v>
      </c>
      <c r="Q375" s="134"/>
      <c r="R375" s="134"/>
      <c r="S375" s="134"/>
      <c r="T375" s="135">
        <v>1313462213</v>
      </c>
      <c r="U375" s="135"/>
      <c r="V375" s="136" t="s">
        <v>622</v>
      </c>
      <c r="W375" s="136"/>
      <c r="X375" s="129">
        <v>3600</v>
      </c>
      <c r="Y375" s="129"/>
      <c r="Z375" s="129">
        <v>3273</v>
      </c>
      <c r="AA375" s="129"/>
      <c r="AB375" s="129"/>
      <c r="AC375" s="129"/>
      <c r="AD375" s="129">
        <v>327</v>
      </c>
      <c r="AE375" s="129"/>
      <c r="AF375" s="129"/>
      <c r="AG375" s="129"/>
      <c r="AH375" s="129"/>
      <c r="AI375" s="129">
        <v>0</v>
      </c>
      <c r="AJ375" s="129"/>
      <c r="AK375" s="129"/>
    </row>
    <row r="376" spans="3:37" ht="14.85" customHeight="1" x14ac:dyDescent="0.15">
      <c r="C376" s="132">
        <v>44425</v>
      </c>
      <c r="D376" s="132"/>
      <c r="E376" s="132">
        <v>44426</v>
      </c>
      <c r="F376" s="132"/>
      <c r="G376" s="132"/>
      <c r="H376" s="132"/>
      <c r="I376" s="133" t="s">
        <v>665</v>
      </c>
      <c r="J376" s="133"/>
      <c r="K376" s="133"/>
      <c r="L376" s="133"/>
      <c r="M376" s="133"/>
      <c r="N376" s="134" t="s">
        <v>664</v>
      </c>
      <c r="O376" s="134"/>
      <c r="P376" s="134" t="s">
        <v>734</v>
      </c>
      <c r="Q376" s="134"/>
      <c r="R376" s="134"/>
      <c r="S376" s="134"/>
      <c r="T376" s="135">
        <v>1298638970</v>
      </c>
      <c r="U376" s="135"/>
      <c r="V376" s="136" t="s">
        <v>618</v>
      </c>
      <c r="W376" s="136"/>
      <c r="X376" s="129">
        <v>8300</v>
      </c>
      <c r="Y376" s="129"/>
      <c r="Z376" s="129">
        <v>8300</v>
      </c>
      <c r="AA376" s="129"/>
      <c r="AB376" s="129"/>
      <c r="AC376" s="129"/>
      <c r="AD376" s="129">
        <v>0</v>
      </c>
      <c r="AE376" s="129"/>
      <c r="AF376" s="129"/>
      <c r="AG376" s="129"/>
      <c r="AH376" s="129"/>
      <c r="AI376" s="129">
        <v>0</v>
      </c>
      <c r="AJ376" s="129"/>
      <c r="AK376" s="129"/>
    </row>
    <row r="377" spans="3:37" ht="14.85" customHeight="1" x14ac:dyDescent="0.15">
      <c r="C377" s="132">
        <v>44426</v>
      </c>
      <c r="D377" s="132"/>
      <c r="E377" s="132">
        <v>44427</v>
      </c>
      <c r="F377" s="132"/>
      <c r="G377" s="132"/>
      <c r="H377" s="132"/>
      <c r="I377" s="133" t="s">
        <v>665</v>
      </c>
      <c r="J377" s="133"/>
      <c r="K377" s="133"/>
      <c r="L377" s="133"/>
      <c r="M377" s="133"/>
      <c r="N377" s="134" t="s">
        <v>664</v>
      </c>
      <c r="O377" s="134"/>
      <c r="P377" s="134" t="s">
        <v>694</v>
      </c>
      <c r="Q377" s="134"/>
      <c r="R377" s="134"/>
      <c r="S377" s="134"/>
      <c r="T377" s="135">
        <v>1310434836</v>
      </c>
      <c r="U377" s="135"/>
      <c r="V377" s="136" t="s">
        <v>618</v>
      </c>
      <c r="W377" s="136"/>
      <c r="X377" s="129">
        <v>4500</v>
      </c>
      <c r="Y377" s="129"/>
      <c r="Z377" s="129">
        <v>4091</v>
      </c>
      <c r="AA377" s="129"/>
      <c r="AB377" s="129"/>
      <c r="AC377" s="129"/>
      <c r="AD377" s="129">
        <v>409</v>
      </c>
      <c r="AE377" s="129"/>
      <c r="AF377" s="129"/>
      <c r="AG377" s="129"/>
      <c r="AH377" s="129"/>
      <c r="AI377" s="129">
        <v>0</v>
      </c>
      <c r="AJ377" s="129"/>
      <c r="AK377" s="129"/>
    </row>
    <row r="378" spans="3:37" ht="14.85" customHeight="1" x14ac:dyDescent="0.15">
      <c r="C378" s="132">
        <v>44427</v>
      </c>
      <c r="D378" s="132"/>
      <c r="E378" s="132">
        <v>44428</v>
      </c>
      <c r="F378" s="132"/>
      <c r="G378" s="132"/>
      <c r="H378" s="132"/>
      <c r="I378" s="133" t="s">
        <v>665</v>
      </c>
      <c r="J378" s="133"/>
      <c r="K378" s="133"/>
      <c r="L378" s="133"/>
      <c r="M378" s="133"/>
      <c r="N378" s="134" t="s">
        <v>664</v>
      </c>
      <c r="O378" s="134"/>
      <c r="P378" s="134" t="s">
        <v>651</v>
      </c>
      <c r="Q378" s="134"/>
      <c r="R378" s="134"/>
      <c r="S378" s="134"/>
      <c r="T378" s="135">
        <v>1211666348</v>
      </c>
      <c r="U378" s="135"/>
      <c r="V378" s="136" t="s">
        <v>622</v>
      </c>
      <c r="W378" s="136"/>
      <c r="X378" s="129">
        <v>33000</v>
      </c>
      <c r="Y378" s="129"/>
      <c r="Z378" s="129">
        <v>30000</v>
      </c>
      <c r="AA378" s="129"/>
      <c r="AB378" s="129"/>
      <c r="AC378" s="129"/>
      <c r="AD378" s="129">
        <v>3000</v>
      </c>
      <c r="AE378" s="129"/>
      <c r="AF378" s="129"/>
      <c r="AG378" s="129"/>
      <c r="AH378" s="129"/>
      <c r="AI378" s="129">
        <v>0</v>
      </c>
      <c r="AJ378" s="129"/>
      <c r="AK378" s="129"/>
    </row>
    <row r="379" spans="3:37" ht="14.85" customHeight="1" x14ac:dyDescent="0.15">
      <c r="C379" s="132">
        <v>44427</v>
      </c>
      <c r="D379" s="132"/>
      <c r="E379" s="132">
        <v>44428</v>
      </c>
      <c r="F379" s="132"/>
      <c r="G379" s="132"/>
      <c r="H379" s="132"/>
      <c r="I379" s="133" t="s">
        <v>665</v>
      </c>
      <c r="J379" s="133"/>
      <c r="K379" s="133"/>
      <c r="L379" s="133"/>
      <c r="M379" s="133"/>
      <c r="N379" s="134" t="s">
        <v>664</v>
      </c>
      <c r="O379" s="134"/>
      <c r="P379" s="134" t="s">
        <v>697</v>
      </c>
      <c r="Q379" s="134"/>
      <c r="R379" s="134"/>
      <c r="S379" s="134"/>
      <c r="T379" s="135">
        <v>5990701264</v>
      </c>
      <c r="U379" s="135"/>
      <c r="V379" s="136" t="s">
        <v>622</v>
      </c>
      <c r="W379" s="136"/>
      <c r="X379" s="129">
        <v>16200</v>
      </c>
      <c r="Y379" s="129"/>
      <c r="Z379" s="129">
        <v>14727</v>
      </c>
      <c r="AA379" s="129"/>
      <c r="AB379" s="129"/>
      <c r="AC379" s="129"/>
      <c r="AD379" s="129">
        <v>1473</v>
      </c>
      <c r="AE379" s="129"/>
      <c r="AF379" s="129"/>
      <c r="AG379" s="129"/>
      <c r="AH379" s="129"/>
      <c r="AI379" s="129">
        <v>0</v>
      </c>
      <c r="AJ379" s="129"/>
      <c r="AK379" s="129"/>
    </row>
    <row r="380" spans="3:37" ht="29.65" customHeight="1" x14ac:dyDescent="0.15">
      <c r="V380" s="137" t="s">
        <v>617</v>
      </c>
      <c r="W380" s="137"/>
    </row>
    <row r="381" spans="3:37" ht="14.85" customHeight="1" x14ac:dyDescent="0.15">
      <c r="C381" s="132">
        <v>44427</v>
      </c>
      <c r="D381" s="132"/>
      <c r="E381" s="132">
        <v>44428</v>
      </c>
      <c r="F381" s="132"/>
      <c r="G381" s="132"/>
      <c r="H381" s="132"/>
      <c r="I381" s="133" t="s">
        <v>665</v>
      </c>
      <c r="J381" s="133"/>
      <c r="K381" s="133"/>
      <c r="L381" s="133"/>
      <c r="M381" s="133"/>
      <c r="N381" s="134" t="s">
        <v>664</v>
      </c>
      <c r="O381" s="134"/>
      <c r="P381" s="134" t="s">
        <v>733</v>
      </c>
      <c r="Q381" s="134"/>
      <c r="R381" s="134"/>
      <c r="S381" s="134"/>
      <c r="T381" s="135">
        <v>1048183559</v>
      </c>
      <c r="U381" s="135"/>
      <c r="V381" s="136" t="s">
        <v>618</v>
      </c>
      <c r="W381" s="136"/>
      <c r="X381" s="129">
        <v>8000</v>
      </c>
      <c r="Y381" s="129"/>
      <c r="Z381" s="129">
        <v>8000</v>
      </c>
      <c r="AA381" s="129"/>
      <c r="AB381" s="129"/>
      <c r="AC381" s="129"/>
      <c r="AD381" s="129">
        <v>0</v>
      </c>
      <c r="AE381" s="129"/>
      <c r="AF381" s="129"/>
      <c r="AG381" s="129"/>
      <c r="AH381" s="129"/>
      <c r="AI381" s="129">
        <v>0</v>
      </c>
      <c r="AJ381" s="129"/>
      <c r="AK381" s="129"/>
    </row>
    <row r="382" spans="3:37" ht="14.85" customHeight="1" x14ac:dyDescent="0.15">
      <c r="C382" s="132">
        <v>44427</v>
      </c>
      <c r="D382" s="132"/>
      <c r="E382" s="132">
        <v>44428</v>
      </c>
      <c r="F382" s="132"/>
      <c r="G382" s="132"/>
      <c r="H382" s="132"/>
      <c r="I382" s="133" t="s">
        <v>665</v>
      </c>
      <c r="J382" s="133"/>
      <c r="K382" s="133"/>
      <c r="L382" s="133"/>
      <c r="M382" s="133"/>
      <c r="N382" s="134" t="s">
        <v>664</v>
      </c>
      <c r="O382" s="134"/>
      <c r="P382" s="134" t="s">
        <v>732</v>
      </c>
      <c r="Q382" s="134"/>
      <c r="R382" s="134"/>
      <c r="S382" s="134"/>
      <c r="T382" s="135">
        <v>7872300450</v>
      </c>
      <c r="U382" s="135"/>
      <c r="V382" s="136" t="s">
        <v>622</v>
      </c>
      <c r="W382" s="136"/>
      <c r="X382" s="129">
        <v>12200</v>
      </c>
      <c r="Y382" s="129"/>
      <c r="Z382" s="129">
        <v>11091</v>
      </c>
      <c r="AA382" s="129"/>
      <c r="AB382" s="129"/>
      <c r="AC382" s="129"/>
      <c r="AD382" s="129">
        <v>1109</v>
      </c>
      <c r="AE382" s="129"/>
      <c r="AF382" s="129"/>
      <c r="AG382" s="129"/>
      <c r="AH382" s="129"/>
      <c r="AI382" s="129">
        <v>0</v>
      </c>
      <c r="AJ382" s="129"/>
      <c r="AK382" s="129"/>
    </row>
    <row r="383" spans="3:37" ht="14.85" customHeight="1" x14ac:dyDescent="0.15">
      <c r="C383" s="132">
        <v>44427</v>
      </c>
      <c r="D383" s="132"/>
      <c r="E383" s="132">
        <v>44428</v>
      </c>
      <c r="F383" s="132"/>
      <c r="G383" s="132"/>
      <c r="H383" s="132"/>
      <c r="I383" s="133" t="s">
        <v>665</v>
      </c>
      <c r="J383" s="133"/>
      <c r="K383" s="133"/>
      <c r="L383" s="133"/>
      <c r="M383" s="133"/>
      <c r="N383" s="134" t="s">
        <v>664</v>
      </c>
      <c r="O383" s="134"/>
      <c r="P383" s="134" t="s">
        <v>655</v>
      </c>
      <c r="Q383" s="134"/>
      <c r="R383" s="134"/>
      <c r="S383" s="134"/>
      <c r="T383" s="135">
        <v>7521100257</v>
      </c>
      <c r="U383" s="135"/>
      <c r="V383" s="136" t="s">
        <v>618</v>
      </c>
      <c r="W383" s="136"/>
      <c r="X383" s="129">
        <v>31800</v>
      </c>
      <c r="Y383" s="129"/>
      <c r="Z383" s="129">
        <v>28909</v>
      </c>
      <c r="AA383" s="129"/>
      <c r="AB383" s="129"/>
      <c r="AC383" s="129"/>
      <c r="AD383" s="129">
        <v>2891</v>
      </c>
      <c r="AE383" s="129"/>
      <c r="AF383" s="129"/>
      <c r="AG383" s="129"/>
      <c r="AH383" s="129"/>
      <c r="AI383" s="129">
        <v>0</v>
      </c>
      <c r="AJ383" s="129"/>
      <c r="AK383" s="129"/>
    </row>
    <row r="384" spans="3:37" ht="14.85" customHeight="1" x14ac:dyDescent="0.15">
      <c r="C384" s="132">
        <v>44427</v>
      </c>
      <c r="D384" s="132"/>
      <c r="E384" s="132">
        <v>44428</v>
      </c>
      <c r="F384" s="132"/>
      <c r="G384" s="132"/>
      <c r="H384" s="132"/>
      <c r="I384" s="133" t="s">
        <v>665</v>
      </c>
      <c r="J384" s="133"/>
      <c r="K384" s="133"/>
      <c r="L384" s="133"/>
      <c r="M384" s="133"/>
      <c r="N384" s="134" t="s">
        <v>664</v>
      </c>
      <c r="O384" s="134"/>
      <c r="P384" s="134" t="s">
        <v>634</v>
      </c>
      <c r="Q384" s="134"/>
      <c r="R384" s="134"/>
      <c r="S384" s="134"/>
      <c r="T384" s="135">
        <v>1298638970</v>
      </c>
      <c r="U384" s="135"/>
      <c r="V384" s="136" t="s">
        <v>618</v>
      </c>
      <c r="W384" s="136"/>
      <c r="X384" s="129">
        <v>7200</v>
      </c>
      <c r="Y384" s="129"/>
      <c r="Z384" s="129">
        <v>7200</v>
      </c>
      <c r="AA384" s="129"/>
      <c r="AB384" s="129"/>
      <c r="AC384" s="129"/>
      <c r="AD384" s="129">
        <v>0</v>
      </c>
      <c r="AE384" s="129"/>
      <c r="AF384" s="129"/>
      <c r="AG384" s="129"/>
      <c r="AH384" s="129"/>
      <c r="AI384" s="129">
        <v>0</v>
      </c>
      <c r="AJ384" s="129"/>
      <c r="AK384" s="129"/>
    </row>
    <row r="385" spans="3:37" ht="14.85" customHeight="1" x14ac:dyDescent="0.15">
      <c r="C385" s="132">
        <v>44427</v>
      </c>
      <c r="D385" s="132"/>
      <c r="E385" s="132">
        <v>44428</v>
      </c>
      <c r="F385" s="132"/>
      <c r="G385" s="132"/>
      <c r="H385" s="132"/>
      <c r="I385" s="133" t="s">
        <v>665</v>
      </c>
      <c r="J385" s="133"/>
      <c r="K385" s="133"/>
      <c r="L385" s="133"/>
      <c r="M385" s="133"/>
      <c r="N385" s="134" t="s">
        <v>664</v>
      </c>
      <c r="O385" s="134"/>
      <c r="P385" s="134" t="s">
        <v>731</v>
      </c>
      <c r="Q385" s="134"/>
      <c r="R385" s="134"/>
      <c r="S385" s="134"/>
      <c r="T385" s="135">
        <v>2362000290</v>
      </c>
      <c r="U385" s="135"/>
      <c r="V385" s="136" t="s">
        <v>618</v>
      </c>
      <c r="W385" s="136"/>
      <c r="X385" s="129">
        <v>4500</v>
      </c>
      <c r="Y385" s="129"/>
      <c r="Z385" s="129">
        <v>4091</v>
      </c>
      <c r="AA385" s="129"/>
      <c r="AB385" s="129"/>
      <c r="AC385" s="129"/>
      <c r="AD385" s="129">
        <v>409</v>
      </c>
      <c r="AE385" s="129"/>
      <c r="AF385" s="129"/>
      <c r="AG385" s="129"/>
      <c r="AH385" s="129"/>
      <c r="AI385" s="129">
        <v>0</v>
      </c>
      <c r="AJ385" s="129"/>
      <c r="AK385" s="129"/>
    </row>
    <row r="386" spans="3:37" ht="14.85" customHeight="1" x14ac:dyDescent="0.15">
      <c r="C386" s="132">
        <v>44428</v>
      </c>
      <c r="D386" s="132"/>
      <c r="E386" s="132">
        <v>44429</v>
      </c>
      <c r="F386" s="132"/>
      <c r="G386" s="132"/>
      <c r="H386" s="132"/>
      <c r="I386" s="133" t="s">
        <v>665</v>
      </c>
      <c r="J386" s="133"/>
      <c r="K386" s="133"/>
      <c r="L386" s="133"/>
      <c r="M386" s="133"/>
      <c r="N386" s="134" t="s">
        <v>664</v>
      </c>
      <c r="O386" s="134"/>
      <c r="P386" s="134" t="s">
        <v>697</v>
      </c>
      <c r="Q386" s="134"/>
      <c r="R386" s="134"/>
      <c r="S386" s="134"/>
      <c r="T386" s="135">
        <v>5990701264</v>
      </c>
      <c r="U386" s="135"/>
      <c r="V386" s="136" t="s">
        <v>622</v>
      </c>
      <c r="W386" s="136"/>
      <c r="X386" s="129">
        <v>9000</v>
      </c>
      <c r="Y386" s="129"/>
      <c r="Z386" s="129">
        <v>8182</v>
      </c>
      <c r="AA386" s="129"/>
      <c r="AB386" s="129"/>
      <c r="AC386" s="129"/>
      <c r="AD386" s="129">
        <v>818</v>
      </c>
      <c r="AE386" s="129"/>
      <c r="AF386" s="129"/>
      <c r="AG386" s="129"/>
      <c r="AH386" s="129"/>
      <c r="AI386" s="129">
        <v>0</v>
      </c>
      <c r="AJ386" s="129"/>
      <c r="AK386" s="129"/>
    </row>
    <row r="387" spans="3:37" ht="14.85" customHeight="1" x14ac:dyDescent="0.15">
      <c r="C387" s="132">
        <v>44429</v>
      </c>
      <c r="D387" s="132"/>
      <c r="E387" s="132">
        <v>44430</v>
      </c>
      <c r="F387" s="132"/>
      <c r="G387" s="132"/>
      <c r="H387" s="132"/>
      <c r="I387" s="133" t="s">
        <v>665</v>
      </c>
      <c r="J387" s="133"/>
      <c r="K387" s="133"/>
      <c r="L387" s="133"/>
      <c r="M387" s="133"/>
      <c r="N387" s="134" t="s">
        <v>664</v>
      </c>
      <c r="O387" s="134"/>
      <c r="P387" s="134" t="s">
        <v>673</v>
      </c>
      <c r="Q387" s="134"/>
      <c r="R387" s="134"/>
      <c r="S387" s="134"/>
      <c r="T387" s="135">
        <v>1318553360</v>
      </c>
      <c r="U387" s="135"/>
      <c r="V387" s="136" t="s">
        <v>618</v>
      </c>
      <c r="W387" s="136"/>
      <c r="X387" s="129">
        <v>7300</v>
      </c>
      <c r="Y387" s="129"/>
      <c r="Z387" s="129">
        <v>7300</v>
      </c>
      <c r="AA387" s="129"/>
      <c r="AB387" s="129"/>
      <c r="AC387" s="129"/>
      <c r="AD387" s="129">
        <v>0</v>
      </c>
      <c r="AE387" s="129"/>
      <c r="AF387" s="129"/>
      <c r="AG387" s="129"/>
      <c r="AH387" s="129"/>
      <c r="AI387" s="129">
        <v>0</v>
      </c>
      <c r="AJ387" s="129"/>
      <c r="AK387" s="129"/>
    </row>
    <row r="388" spans="3:37" ht="14.85" customHeight="1" x14ac:dyDescent="0.15">
      <c r="C388" s="132">
        <v>44429</v>
      </c>
      <c r="D388" s="132"/>
      <c r="E388" s="132">
        <v>44430</v>
      </c>
      <c r="F388" s="132"/>
      <c r="G388" s="132"/>
      <c r="H388" s="132"/>
      <c r="I388" s="133" t="s">
        <v>665</v>
      </c>
      <c r="J388" s="133"/>
      <c r="K388" s="133"/>
      <c r="L388" s="133"/>
      <c r="M388" s="133"/>
      <c r="N388" s="134" t="s">
        <v>664</v>
      </c>
      <c r="O388" s="134"/>
      <c r="P388" s="134" t="s">
        <v>673</v>
      </c>
      <c r="Q388" s="134"/>
      <c r="R388" s="134"/>
      <c r="S388" s="134"/>
      <c r="T388" s="135">
        <v>1318553360</v>
      </c>
      <c r="U388" s="135"/>
      <c r="V388" s="136" t="s">
        <v>618</v>
      </c>
      <c r="W388" s="136"/>
      <c r="X388" s="129">
        <v>4500</v>
      </c>
      <c r="Y388" s="129"/>
      <c r="Z388" s="129">
        <v>4091</v>
      </c>
      <c r="AA388" s="129"/>
      <c r="AB388" s="129"/>
      <c r="AC388" s="129"/>
      <c r="AD388" s="129">
        <v>409</v>
      </c>
      <c r="AE388" s="129"/>
      <c r="AF388" s="129"/>
      <c r="AG388" s="129"/>
      <c r="AH388" s="129"/>
      <c r="AI388" s="129">
        <v>0</v>
      </c>
      <c r="AJ388" s="129"/>
      <c r="AK388" s="129"/>
    </row>
    <row r="389" spans="3:37" ht="14.85" customHeight="1" x14ac:dyDescent="0.15">
      <c r="C389" s="132">
        <v>44431</v>
      </c>
      <c r="D389" s="132"/>
      <c r="E389" s="132">
        <v>44432</v>
      </c>
      <c r="F389" s="132"/>
      <c r="G389" s="132"/>
      <c r="H389" s="132"/>
      <c r="I389" s="133" t="s">
        <v>665</v>
      </c>
      <c r="J389" s="133"/>
      <c r="K389" s="133"/>
      <c r="L389" s="133"/>
      <c r="M389" s="133"/>
      <c r="N389" s="134" t="s">
        <v>664</v>
      </c>
      <c r="O389" s="134"/>
      <c r="P389" s="134" t="s">
        <v>730</v>
      </c>
      <c r="Q389" s="134"/>
      <c r="R389" s="134"/>
      <c r="S389" s="134"/>
      <c r="T389" s="135">
        <v>1312942571</v>
      </c>
      <c r="U389" s="135"/>
      <c r="V389" s="136" t="s">
        <v>618</v>
      </c>
      <c r="W389" s="136"/>
      <c r="X389" s="129">
        <v>16000</v>
      </c>
      <c r="Y389" s="129"/>
      <c r="Z389" s="129">
        <v>14546</v>
      </c>
      <c r="AA389" s="129"/>
      <c r="AB389" s="129"/>
      <c r="AC389" s="129"/>
      <c r="AD389" s="129">
        <v>1454</v>
      </c>
      <c r="AE389" s="129"/>
      <c r="AF389" s="129"/>
      <c r="AG389" s="129"/>
      <c r="AH389" s="129"/>
      <c r="AI389" s="129">
        <v>0</v>
      </c>
      <c r="AJ389" s="129"/>
      <c r="AK389" s="129"/>
    </row>
    <row r="390" spans="3:37" ht="14.85" customHeight="1" x14ac:dyDescent="0.15">
      <c r="C390" s="132">
        <v>44431</v>
      </c>
      <c r="D390" s="132"/>
      <c r="E390" s="132">
        <v>44432</v>
      </c>
      <c r="F390" s="132"/>
      <c r="G390" s="132"/>
      <c r="H390" s="132"/>
      <c r="I390" s="133" t="s">
        <v>665</v>
      </c>
      <c r="J390" s="133"/>
      <c r="K390" s="133"/>
      <c r="L390" s="133"/>
      <c r="M390" s="133"/>
      <c r="N390" s="134" t="s">
        <v>664</v>
      </c>
      <c r="O390" s="134"/>
      <c r="P390" s="134" t="s">
        <v>694</v>
      </c>
      <c r="Q390" s="134"/>
      <c r="R390" s="134"/>
      <c r="S390" s="134"/>
      <c r="T390" s="135">
        <v>1310434836</v>
      </c>
      <c r="U390" s="135"/>
      <c r="V390" s="136" t="s">
        <v>618</v>
      </c>
      <c r="W390" s="136"/>
      <c r="X390" s="129">
        <v>4500</v>
      </c>
      <c r="Y390" s="129"/>
      <c r="Z390" s="129">
        <v>4091</v>
      </c>
      <c r="AA390" s="129"/>
      <c r="AB390" s="129"/>
      <c r="AC390" s="129"/>
      <c r="AD390" s="129">
        <v>409</v>
      </c>
      <c r="AE390" s="129"/>
      <c r="AF390" s="129"/>
      <c r="AG390" s="129"/>
      <c r="AH390" s="129"/>
      <c r="AI390" s="129">
        <v>0</v>
      </c>
      <c r="AJ390" s="129"/>
      <c r="AK390" s="129"/>
    </row>
    <row r="391" spans="3:37" ht="14.85" customHeight="1" x14ac:dyDescent="0.15">
      <c r="C391" s="132">
        <v>44432</v>
      </c>
      <c r="D391" s="132"/>
      <c r="E391" s="132">
        <v>44433</v>
      </c>
      <c r="F391" s="132"/>
      <c r="G391" s="132"/>
      <c r="H391" s="132"/>
      <c r="I391" s="133" t="s">
        <v>621</v>
      </c>
      <c r="J391" s="133"/>
      <c r="K391" s="133"/>
      <c r="L391" s="133"/>
      <c r="M391" s="133"/>
      <c r="N391" s="134" t="s">
        <v>687</v>
      </c>
      <c r="O391" s="134"/>
      <c r="P391" s="134" t="s">
        <v>694</v>
      </c>
      <c r="Q391" s="134"/>
      <c r="R391" s="134"/>
      <c r="S391" s="134"/>
      <c r="T391" s="135">
        <v>1310434836</v>
      </c>
      <c r="U391" s="135"/>
      <c r="V391" s="136" t="s">
        <v>618</v>
      </c>
      <c r="W391" s="136"/>
      <c r="X391" s="129">
        <v>4500</v>
      </c>
      <c r="Y391" s="129"/>
      <c r="Z391" s="129">
        <v>4091</v>
      </c>
      <c r="AA391" s="129"/>
      <c r="AB391" s="129"/>
      <c r="AC391" s="129"/>
      <c r="AD391" s="129">
        <v>409</v>
      </c>
      <c r="AE391" s="129"/>
      <c r="AF391" s="129"/>
      <c r="AG391" s="129"/>
      <c r="AH391" s="129"/>
      <c r="AI391" s="129">
        <v>0</v>
      </c>
      <c r="AJ391" s="129"/>
      <c r="AK391" s="129"/>
    </row>
    <row r="392" spans="3:37" ht="14.85" customHeight="1" x14ac:dyDescent="0.15">
      <c r="C392" s="132">
        <v>44433</v>
      </c>
      <c r="D392" s="132"/>
      <c r="E392" s="132">
        <v>44434</v>
      </c>
      <c r="F392" s="132"/>
      <c r="G392" s="132"/>
      <c r="H392" s="132"/>
      <c r="I392" s="133" t="s">
        <v>665</v>
      </c>
      <c r="J392" s="133"/>
      <c r="K392" s="133"/>
      <c r="L392" s="133"/>
      <c r="M392" s="133"/>
      <c r="N392" s="134" t="s">
        <v>664</v>
      </c>
      <c r="O392" s="134"/>
      <c r="P392" s="134" t="s">
        <v>699</v>
      </c>
      <c r="Q392" s="134"/>
      <c r="R392" s="134"/>
      <c r="S392" s="134"/>
      <c r="T392" s="135">
        <v>3021040377</v>
      </c>
      <c r="U392" s="135"/>
      <c r="V392" s="136" t="s">
        <v>622</v>
      </c>
      <c r="W392" s="136"/>
      <c r="X392" s="129">
        <v>7500</v>
      </c>
      <c r="Y392" s="129"/>
      <c r="Z392" s="129">
        <v>6818</v>
      </c>
      <c r="AA392" s="129"/>
      <c r="AB392" s="129"/>
      <c r="AC392" s="129"/>
      <c r="AD392" s="129">
        <v>682</v>
      </c>
      <c r="AE392" s="129"/>
      <c r="AF392" s="129"/>
      <c r="AG392" s="129"/>
      <c r="AH392" s="129"/>
      <c r="AI392" s="129">
        <v>0</v>
      </c>
      <c r="AJ392" s="129"/>
      <c r="AK392" s="129"/>
    </row>
    <row r="393" spans="3:37" ht="14.85" customHeight="1" x14ac:dyDescent="0.15">
      <c r="C393" s="132">
        <v>44435</v>
      </c>
      <c r="D393" s="132"/>
      <c r="E393" s="132">
        <v>44437</v>
      </c>
      <c r="F393" s="132"/>
      <c r="G393" s="132"/>
      <c r="H393" s="132"/>
      <c r="I393" s="133" t="s">
        <v>665</v>
      </c>
      <c r="J393" s="133"/>
      <c r="K393" s="133"/>
      <c r="L393" s="133"/>
      <c r="M393" s="133"/>
      <c r="N393" s="134" t="s">
        <v>664</v>
      </c>
      <c r="O393" s="134"/>
      <c r="P393" s="134" t="s">
        <v>692</v>
      </c>
      <c r="Q393" s="134"/>
      <c r="R393" s="134"/>
      <c r="S393" s="134"/>
      <c r="T393" s="135">
        <v>5304900441</v>
      </c>
      <c r="U393" s="135"/>
      <c r="V393" s="136" t="s">
        <v>618</v>
      </c>
      <c r="W393" s="136"/>
      <c r="X393" s="129">
        <v>4500</v>
      </c>
      <c r="Y393" s="129"/>
      <c r="Z393" s="129">
        <v>4091</v>
      </c>
      <c r="AA393" s="129"/>
      <c r="AB393" s="129"/>
      <c r="AC393" s="129"/>
      <c r="AD393" s="129">
        <v>409</v>
      </c>
      <c r="AE393" s="129"/>
      <c r="AF393" s="129"/>
      <c r="AG393" s="129"/>
      <c r="AH393" s="129"/>
      <c r="AI393" s="129">
        <v>0</v>
      </c>
      <c r="AJ393" s="129"/>
      <c r="AK393" s="129"/>
    </row>
    <row r="394" spans="3:37" ht="14.85" customHeight="1" x14ac:dyDescent="0.15">
      <c r="C394" s="132">
        <v>44436</v>
      </c>
      <c r="D394" s="132"/>
      <c r="E394" s="132">
        <v>44438</v>
      </c>
      <c r="F394" s="132"/>
      <c r="G394" s="132"/>
      <c r="H394" s="132"/>
      <c r="I394" s="133" t="s">
        <v>665</v>
      </c>
      <c r="J394" s="133"/>
      <c r="K394" s="133"/>
      <c r="L394" s="133"/>
      <c r="M394" s="133"/>
      <c r="N394" s="134" t="s">
        <v>664</v>
      </c>
      <c r="O394" s="134"/>
      <c r="P394" s="134" t="s">
        <v>692</v>
      </c>
      <c r="Q394" s="134"/>
      <c r="R394" s="134"/>
      <c r="S394" s="134"/>
      <c r="T394" s="135">
        <v>5304900441</v>
      </c>
      <c r="U394" s="135"/>
      <c r="V394" s="136" t="s">
        <v>618</v>
      </c>
      <c r="W394" s="136"/>
      <c r="X394" s="129">
        <v>6400</v>
      </c>
      <c r="Y394" s="129"/>
      <c r="Z394" s="129">
        <v>5818</v>
      </c>
      <c r="AA394" s="129"/>
      <c r="AB394" s="129"/>
      <c r="AC394" s="129"/>
      <c r="AD394" s="129">
        <v>582</v>
      </c>
      <c r="AE394" s="129"/>
      <c r="AF394" s="129"/>
      <c r="AG394" s="129"/>
      <c r="AH394" s="129"/>
      <c r="AI394" s="129">
        <v>0</v>
      </c>
      <c r="AJ394" s="129"/>
      <c r="AK394" s="129"/>
    </row>
    <row r="395" spans="3:37" ht="14.85" customHeight="1" x14ac:dyDescent="0.15">
      <c r="C395" s="132">
        <v>44437</v>
      </c>
      <c r="D395" s="132"/>
      <c r="E395" s="132">
        <v>44439</v>
      </c>
      <c r="F395" s="132"/>
      <c r="G395" s="132"/>
      <c r="H395" s="132"/>
      <c r="I395" s="133" t="s">
        <v>665</v>
      </c>
      <c r="J395" s="133"/>
      <c r="K395" s="133"/>
      <c r="L395" s="133"/>
      <c r="M395" s="133"/>
      <c r="N395" s="134" t="s">
        <v>664</v>
      </c>
      <c r="O395" s="134"/>
      <c r="P395" s="134" t="s">
        <v>692</v>
      </c>
      <c r="Q395" s="134"/>
      <c r="R395" s="134"/>
      <c r="S395" s="134"/>
      <c r="T395" s="135">
        <v>5304900441</v>
      </c>
      <c r="U395" s="135"/>
      <c r="V395" s="136" t="s">
        <v>618</v>
      </c>
      <c r="W395" s="136"/>
      <c r="X395" s="129">
        <v>4500</v>
      </c>
      <c r="Y395" s="129"/>
      <c r="Z395" s="129">
        <v>4091</v>
      </c>
      <c r="AA395" s="129"/>
      <c r="AB395" s="129"/>
      <c r="AC395" s="129"/>
      <c r="AD395" s="129">
        <v>409</v>
      </c>
      <c r="AE395" s="129"/>
      <c r="AF395" s="129"/>
      <c r="AG395" s="129"/>
      <c r="AH395" s="129"/>
      <c r="AI395" s="129">
        <v>0</v>
      </c>
      <c r="AJ395" s="129"/>
      <c r="AK395" s="129"/>
    </row>
    <row r="396" spans="3:37" ht="14.85" customHeight="1" x14ac:dyDescent="0.15">
      <c r="C396" s="132">
        <v>44439</v>
      </c>
      <c r="D396" s="132"/>
      <c r="E396" s="132">
        <v>44440</v>
      </c>
      <c r="F396" s="132"/>
      <c r="G396" s="132"/>
      <c r="H396" s="132"/>
      <c r="I396" s="133" t="s">
        <v>665</v>
      </c>
      <c r="J396" s="133"/>
      <c r="K396" s="133"/>
      <c r="L396" s="133"/>
      <c r="M396" s="133"/>
      <c r="N396" s="134" t="s">
        <v>664</v>
      </c>
      <c r="O396" s="134"/>
      <c r="P396" s="134" t="s">
        <v>729</v>
      </c>
      <c r="Q396" s="134"/>
      <c r="R396" s="134"/>
      <c r="S396" s="134"/>
      <c r="T396" s="135">
        <v>1313025563</v>
      </c>
      <c r="U396" s="135"/>
      <c r="V396" s="136" t="s">
        <v>618</v>
      </c>
      <c r="W396" s="136"/>
      <c r="X396" s="129">
        <v>28000</v>
      </c>
      <c r="Y396" s="129"/>
      <c r="Z396" s="129">
        <v>25455</v>
      </c>
      <c r="AA396" s="129"/>
      <c r="AB396" s="129"/>
      <c r="AC396" s="129"/>
      <c r="AD396" s="129">
        <v>2545</v>
      </c>
      <c r="AE396" s="129"/>
      <c r="AF396" s="129"/>
      <c r="AG396" s="129"/>
      <c r="AH396" s="129"/>
      <c r="AI396" s="129">
        <v>0</v>
      </c>
      <c r="AJ396" s="129"/>
      <c r="AK396" s="129"/>
    </row>
    <row r="397" spans="3:37" ht="14.85" customHeight="1" x14ac:dyDescent="0.15">
      <c r="C397" s="132">
        <v>44439</v>
      </c>
      <c r="D397" s="132"/>
      <c r="E397" s="132">
        <v>44440</v>
      </c>
      <c r="F397" s="132"/>
      <c r="G397" s="132"/>
      <c r="H397" s="132"/>
      <c r="I397" s="133" t="s">
        <v>665</v>
      </c>
      <c r="J397" s="133"/>
      <c r="K397" s="133"/>
      <c r="L397" s="133"/>
      <c r="M397" s="133"/>
      <c r="N397" s="134" t="s">
        <v>664</v>
      </c>
      <c r="O397" s="134"/>
      <c r="P397" s="134" t="s">
        <v>697</v>
      </c>
      <c r="Q397" s="134"/>
      <c r="R397" s="134"/>
      <c r="S397" s="134"/>
      <c r="T397" s="135">
        <v>5990701264</v>
      </c>
      <c r="U397" s="135"/>
      <c r="V397" s="136" t="s">
        <v>622</v>
      </c>
      <c r="W397" s="136"/>
      <c r="X397" s="129">
        <v>10500</v>
      </c>
      <c r="Y397" s="129"/>
      <c r="Z397" s="129">
        <v>9545</v>
      </c>
      <c r="AA397" s="129"/>
      <c r="AB397" s="129"/>
      <c r="AC397" s="129"/>
      <c r="AD397" s="129">
        <v>955</v>
      </c>
      <c r="AE397" s="129"/>
      <c r="AF397" s="129"/>
      <c r="AG397" s="129"/>
      <c r="AH397" s="129"/>
      <c r="AI397" s="129">
        <v>0</v>
      </c>
      <c r="AJ397" s="129"/>
      <c r="AK397" s="129"/>
    </row>
    <row r="398" spans="3:37" ht="14.85" customHeight="1" x14ac:dyDescent="0.15">
      <c r="C398" s="132">
        <v>44438</v>
      </c>
      <c r="D398" s="132"/>
      <c r="E398" s="132">
        <v>44440</v>
      </c>
      <c r="F398" s="132"/>
      <c r="G398" s="132"/>
      <c r="H398" s="132"/>
      <c r="I398" s="133" t="s">
        <v>665</v>
      </c>
      <c r="J398" s="133"/>
      <c r="K398" s="133"/>
      <c r="L398" s="133"/>
      <c r="M398" s="133"/>
      <c r="N398" s="134" t="s">
        <v>664</v>
      </c>
      <c r="O398" s="134"/>
      <c r="P398" s="134" t="s">
        <v>692</v>
      </c>
      <c r="Q398" s="134"/>
      <c r="R398" s="134"/>
      <c r="S398" s="134"/>
      <c r="T398" s="135">
        <v>5304900441</v>
      </c>
      <c r="U398" s="135"/>
      <c r="V398" s="136" t="s">
        <v>618</v>
      </c>
      <c r="W398" s="136"/>
      <c r="X398" s="129">
        <v>15300</v>
      </c>
      <c r="Y398" s="129"/>
      <c r="Z398" s="129">
        <v>13909</v>
      </c>
      <c r="AA398" s="129"/>
      <c r="AB398" s="129"/>
      <c r="AC398" s="129"/>
      <c r="AD398" s="129">
        <v>1391</v>
      </c>
      <c r="AE398" s="129"/>
      <c r="AF398" s="129"/>
      <c r="AG398" s="129"/>
      <c r="AH398" s="129"/>
      <c r="AI398" s="129">
        <v>0</v>
      </c>
      <c r="AJ398" s="129"/>
      <c r="AK398" s="129"/>
    </row>
    <row r="399" spans="3:37" ht="14.85" customHeight="1" x14ac:dyDescent="0.15">
      <c r="C399" s="132">
        <v>44440</v>
      </c>
      <c r="D399" s="132"/>
      <c r="E399" s="132">
        <v>44442</v>
      </c>
      <c r="F399" s="132"/>
      <c r="G399" s="132"/>
      <c r="H399" s="132"/>
      <c r="I399" s="133" t="s">
        <v>665</v>
      </c>
      <c r="J399" s="133"/>
      <c r="K399" s="133"/>
      <c r="L399" s="133"/>
      <c r="M399" s="133"/>
      <c r="N399" s="134" t="s">
        <v>664</v>
      </c>
      <c r="O399" s="134"/>
      <c r="P399" s="134" t="s">
        <v>728</v>
      </c>
      <c r="Q399" s="134"/>
      <c r="R399" s="134"/>
      <c r="S399" s="134"/>
      <c r="T399" s="135">
        <v>1058177410</v>
      </c>
      <c r="U399" s="135"/>
      <c r="V399" s="136" t="s">
        <v>622</v>
      </c>
      <c r="W399" s="136"/>
      <c r="X399" s="129">
        <v>800</v>
      </c>
      <c r="Y399" s="129"/>
      <c r="Z399" s="129">
        <v>800</v>
      </c>
      <c r="AA399" s="129"/>
      <c r="AB399" s="129"/>
      <c r="AC399" s="129"/>
      <c r="AD399" s="129">
        <v>0</v>
      </c>
      <c r="AE399" s="129"/>
      <c r="AF399" s="129"/>
      <c r="AG399" s="129"/>
      <c r="AH399" s="129"/>
      <c r="AI399" s="129">
        <v>0</v>
      </c>
      <c r="AJ399" s="129"/>
      <c r="AK399" s="129"/>
    </row>
    <row r="400" spans="3:37" ht="14.85" customHeight="1" x14ac:dyDescent="0.15">
      <c r="C400" s="132">
        <v>44439</v>
      </c>
      <c r="D400" s="132"/>
      <c r="E400" s="132">
        <v>44441</v>
      </c>
      <c r="F400" s="132"/>
      <c r="G400" s="132"/>
      <c r="H400" s="132"/>
      <c r="I400" s="133" t="s">
        <v>665</v>
      </c>
      <c r="J400" s="133"/>
      <c r="K400" s="133"/>
      <c r="L400" s="133"/>
      <c r="M400" s="133"/>
      <c r="N400" s="134" t="s">
        <v>664</v>
      </c>
      <c r="O400" s="134"/>
      <c r="P400" s="134" t="s">
        <v>692</v>
      </c>
      <c r="Q400" s="134"/>
      <c r="R400" s="134"/>
      <c r="S400" s="134"/>
      <c r="T400" s="135">
        <v>5304900441</v>
      </c>
      <c r="U400" s="135"/>
      <c r="V400" s="136" t="s">
        <v>618</v>
      </c>
      <c r="W400" s="136"/>
      <c r="X400" s="129">
        <v>4500</v>
      </c>
      <c r="Y400" s="129"/>
      <c r="Z400" s="129">
        <v>4091</v>
      </c>
      <c r="AA400" s="129"/>
      <c r="AB400" s="129"/>
      <c r="AC400" s="129"/>
      <c r="AD400" s="129">
        <v>409</v>
      </c>
      <c r="AE400" s="129"/>
      <c r="AF400" s="129"/>
      <c r="AG400" s="129"/>
      <c r="AH400" s="129"/>
      <c r="AI400" s="129">
        <v>0</v>
      </c>
      <c r="AJ400" s="129"/>
      <c r="AK400" s="129"/>
    </row>
    <row r="401" spans="3:37" ht="14.85" customHeight="1" x14ac:dyDescent="0.15">
      <c r="C401" s="132">
        <v>44440</v>
      </c>
      <c r="D401" s="132"/>
      <c r="E401" s="132">
        <v>44441</v>
      </c>
      <c r="F401" s="132"/>
      <c r="G401" s="132"/>
      <c r="H401" s="132"/>
      <c r="I401" s="133" t="s">
        <v>665</v>
      </c>
      <c r="J401" s="133"/>
      <c r="K401" s="133"/>
      <c r="L401" s="133"/>
      <c r="M401" s="133"/>
      <c r="N401" s="134" t="s">
        <v>664</v>
      </c>
      <c r="O401" s="134"/>
      <c r="P401" s="134" t="s">
        <v>713</v>
      </c>
      <c r="Q401" s="134"/>
      <c r="R401" s="134"/>
      <c r="S401" s="134"/>
      <c r="T401" s="135">
        <v>6755200254</v>
      </c>
      <c r="U401" s="135"/>
      <c r="V401" s="136" t="s">
        <v>618</v>
      </c>
      <c r="W401" s="136"/>
      <c r="X401" s="129">
        <v>4500</v>
      </c>
      <c r="Y401" s="129"/>
      <c r="Z401" s="129">
        <v>4091</v>
      </c>
      <c r="AA401" s="129"/>
      <c r="AB401" s="129"/>
      <c r="AC401" s="129"/>
      <c r="AD401" s="129">
        <v>409</v>
      </c>
      <c r="AE401" s="129"/>
      <c r="AF401" s="129"/>
      <c r="AG401" s="129"/>
      <c r="AH401" s="129"/>
      <c r="AI401" s="129">
        <v>0</v>
      </c>
      <c r="AJ401" s="129"/>
      <c r="AK401" s="129"/>
    </row>
    <row r="402" spans="3:37" ht="14.85" customHeight="1" x14ac:dyDescent="0.15">
      <c r="C402" s="132">
        <v>44440</v>
      </c>
      <c r="D402" s="132"/>
      <c r="E402" s="132">
        <v>44441</v>
      </c>
      <c r="F402" s="132"/>
      <c r="G402" s="132"/>
      <c r="H402" s="132"/>
      <c r="I402" s="133" t="s">
        <v>665</v>
      </c>
      <c r="J402" s="133"/>
      <c r="K402" s="133"/>
      <c r="L402" s="133"/>
      <c r="M402" s="133"/>
      <c r="N402" s="134" t="s">
        <v>664</v>
      </c>
      <c r="O402" s="134"/>
      <c r="P402" s="134" t="s">
        <v>634</v>
      </c>
      <c r="Q402" s="134"/>
      <c r="R402" s="134"/>
      <c r="S402" s="134"/>
      <c r="T402" s="135">
        <v>1298638970</v>
      </c>
      <c r="U402" s="135"/>
      <c r="V402" s="136" t="s">
        <v>618</v>
      </c>
      <c r="W402" s="136"/>
      <c r="X402" s="129">
        <v>7300</v>
      </c>
      <c r="Y402" s="129"/>
      <c r="Z402" s="129">
        <v>7300</v>
      </c>
      <c r="AA402" s="129"/>
      <c r="AB402" s="129"/>
      <c r="AC402" s="129"/>
      <c r="AD402" s="129">
        <v>0</v>
      </c>
      <c r="AE402" s="129"/>
      <c r="AF402" s="129"/>
      <c r="AG402" s="129"/>
      <c r="AH402" s="129"/>
      <c r="AI402" s="129">
        <v>0</v>
      </c>
      <c r="AJ402" s="129"/>
      <c r="AK402" s="129"/>
    </row>
    <row r="403" spans="3:37" ht="14.85" customHeight="1" x14ac:dyDescent="0.15">
      <c r="C403" s="132">
        <v>44440</v>
      </c>
      <c r="D403" s="132"/>
      <c r="E403" s="132">
        <v>44441</v>
      </c>
      <c r="F403" s="132"/>
      <c r="G403" s="132"/>
      <c r="H403" s="132"/>
      <c r="I403" s="133" t="s">
        <v>621</v>
      </c>
      <c r="J403" s="133"/>
      <c r="K403" s="133"/>
      <c r="L403" s="133"/>
      <c r="M403" s="133"/>
      <c r="N403" s="134" t="s">
        <v>687</v>
      </c>
      <c r="O403" s="134"/>
      <c r="P403" s="134" t="s">
        <v>634</v>
      </c>
      <c r="Q403" s="134"/>
      <c r="R403" s="134"/>
      <c r="S403" s="134"/>
      <c r="T403" s="135">
        <v>1298638970</v>
      </c>
      <c r="U403" s="135"/>
      <c r="V403" s="136" t="s">
        <v>618</v>
      </c>
      <c r="W403" s="136"/>
      <c r="X403" s="129">
        <v>6500</v>
      </c>
      <c r="Y403" s="129"/>
      <c r="Z403" s="129">
        <v>6500</v>
      </c>
      <c r="AA403" s="129"/>
      <c r="AB403" s="129"/>
      <c r="AC403" s="129"/>
      <c r="AD403" s="129">
        <v>0</v>
      </c>
      <c r="AE403" s="129"/>
      <c r="AF403" s="129"/>
      <c r="AG403" s="129"/>
      <c r="AH403" s="129"/>
      <c r="AI403" s="129">
        <v>0</v>
      </c>
      <c r="AJ403" s="129"/>
      <c r="AK403" s="129"/>
    </row>
    <row r="404" spans="3:37" ht="14.85" customHeight="1" x14ac:dyDescent="0.15">
      <c r="C404" s="132">
        <v>44441</v>
      </c>
      <c r="D404" s="132"/>
      <c r="E404" s="132">
        <v>44442</v>
      </c>
      <c r="F404" s="132"/>
      <c r="G404" s="132"/>
      <c r="H404" s="132"/>
      <c r="I404" s="133" t="s">
        <v>665</v>
      </c>
      <c r="J404" s="133"/>
      <c r="K404" s="133"/>
      <c r="L404" s="133"/>
      <c r="M404" s="133"/>
      <c r="N404" s="134" t="s">
        <v>664</v>
      </c>
      <c r="O404" s="134"/>
      <c r="P404" s="134" t="s">
        <v>694</v>
      </c>
      <c r="Q404" s="134"/>
      <c r="R404" s="134"/>
      <c r="S404" s="134"/>
      <c r="T404" s="135">
        <v>1310434836</v>
      </c>
      <c r="U404" s="135"/>
      <c r="V404" s="136" t="s">
        <v>618</v>
      </c>
      <c r="W404" s="136"/>
      <c r="X404" s="129">
        <v>4500</v>
      </c>
      <c r="Y404" s="129"/>
      <c r="Z404" s="129">
        <v>4091</v>
      </c>
      <c r="AA404" s="129"/>
      <c r="AB404" s="129"/>
      <c r="AC404" s="129"/>
      <c r="AD404" s="129">
        <v>409</v>
      </c>
      <c r="AE404" s="129"/>
      <c r="AF404" s="129"/>
      <c r="AG404" s="129"/>
      <c r="AH404" s="129"/>
      <c r="AI404" s="129">
        <v>0</v>
      </c>
      <c r="AJ404" s="129"/>
      <c r="AK404" s="129"/>
    </row>
    <row r="405" spans="3:37" ht="14.85" customHeight="1" x14ac:dyDescent="0.15">
      <c r="C405" s="132">
        <v>44408</v>
      </c>
      <c r="D405" s="132"/>
      <c r="E405" s="132">
        <v>44442</v>
      </c>
      <c r="F405" s="132"/>
      <c r="G405" s="132"/>
      <c r="H405" s="132"/>
      <c r="I405" s="133" t="s">
        <v>621</v>
      </c>
      <c r="J405" s="133"/>
      <c r="K405" s="133"/>
      <c r="L405" s="133"/>
      <c r="M405" s="133"/>
      <c r="N405" s="134" t="s">
        <v>620</v>
      </c>
      <c r="O405" s="134"/>
      <c r="P405" s="134" t="s">
        <v>640</v>
      </c>
      <c r="Q405" s="134"/>
      <c r="R405" s="134"/>
      <c r="S405" s="134"/>
      <c r="T405" s="135">
        <v>2028148079</v>
      </c>
      <c r="U405" s="135"/>
      <c r="V405" s="136" t="s">
        <v>618</v>
      </c>
      <c r="W405" s="136"/>
      <c r="X405" s="129">
        <v>200</v>
      </c>
      <c r="Y405" s="129"/>
      <c r="Z405" s="129">
        <v>200</v>
      </c>
      <c r="AA405" s="129"/>
      <c r="AB405" s="129"/>
      <c r="AC405" s="129"/>
      <c r="AD405" s="129">
        <v>0</v>
      </c>
      <c r="AE405" s="129"/>
      <c r="AF405" s="129"/>
      <c r="AG405" s="129"/>
      <c r="AH405" s="129"/>
      <c r="AI405" s="129">
        <v>0</v>
      </c>
      <c r="AJ405" s="129"/>
      <c r="AK405" s="129"/>
    </row>
    <row r="406" spans="3:37" ht="14.85" customHeight="1" x14ac:dyDescent="0.15">
      <c r="C406" s="132">
        <v>44442</v>
      </c>
      <c r="D406" s="132"/>
      <c r="E406" s="132">
        <v>44443</v>
      </c>
      <c r="F406" s="132"/>
      <c r="G406" s="132"/>
      <c r="H406" s="132"/>
      <c r="I406" s="133" t="s">
        <v>665</v>
      </c>
      <c r="J406" s="133"/>
      <c r="K406" s="133"/>
      <c r="L406" s="133"/>
      <c r="M406" s="133"/>
      <c r="N406" s="134" t="s">
        <v>664</v>
      </c>
      <c r="O406" s="134"/>
      <c r="P406" s="134" t="s">
        <v>727</v>
      </c>
      <c r="Q406" s="134"/>
      <c r="R406" s="134"/>
      <c r="S406" s="134"/>
      <c r="T406" s="135">
        <v>1313421420</v>
      </c>
      <c r="U406" s="135"/>
      <c r="V406" s="136" t="s">
        <v>618</v>
      </c>
      <c r="W406" s="136"/>
      <c r="X406" s="129">
        <v>16000</v>
      </c>
      <c r="Y406" s="129"/>
      <c r="Z406" s="129">
        <v>14545</v>
      </c>
      <c r="AA406" s="129"/>
      <c r="AB406" s="129"/>
      <c r="AC406" s="129"/>
      <c r="AD406" s="129">
        <v>1455</v>
      </c>
      <c r="AE406" s="129"/>
      <c r="AF406" s="129"/>
      <c r="AG406" s="129"/>
      <c r="AH406" s="129"/>
      <c r="AI406" s="129">
        <v>0</v>
      </c>
      <c r="AJ406" s="129"/>
      <c r="AK406" s="129"/>
    </row>
    <row r="407" spans="3:37" ht="14.85" customHeight="1" x14ac:dyDescent="0.15">
      <c r="C407" s="132">
        <v>44442</v>
      </c>
      <c r="D407" s="132"/>
      <c r="E407" s="132">
        <v>44443</v>
      </c>
      <c r="F407" s="132"/>
      <c r="G407" s="132"/>
      <c r="H407" s="132"/>
      <c r="I407" s="133" t="s">
        <v>665</v>
      </c>
      <c r="J407" s="133"/>
      <c r="K407" s="133"/>
      <c r="L407" s="133"/>
      <c r="M407" s="133"/>
      <c r="N407" s="134" t="s">
        <v>664</v>
      </c>
      <c r="O407" s="134"/>
      <c r="P407" s="134" t="s">
        <v>694</v>
      </c>
      <c r="Q407" s="134"/>
      <c r="R407" s="134"/>
      <c r="S407" s="134"/>
      <c r="T407" s="135">
        <v>1310434836</v>
      </c>
      <c r="U407" s="135"/>
      <c r="V407" s="136" t="s">
        <v>618</v>
      </c>
      <c r="W407" s="136"/>
      <c r="X407" s="129">
        <v>4500</v>
      </c>
      <c r="Y407" s="129"/>
      <c r="Z407" s="129">
        <v>4091</v>
      </c>
      <c r="AA407" s="129"/>
      <c r="AB407" s="129"/>
      <c r="AC407" s="129"/>
      <c r="AD407" s="129">
        <v>409</v>
      </c>
      <c r="AE407" s="129"/>
      <c r="AF407" s="129"/>
      <c r="AG407" s="129"/>
      <c r="AH407" s="129"/>
      <c r="AI407" s="129">
        <v>0</v>
      </c>
      <c r="AJ407" s="129"/>
      <c r="AK407" s="129"/>
    </row>
    <row r="408" spans="3:37" ht="14.85" customHeight="1" x14ac:dyDescent="0.15">
      <c r="C408" s="132">
        <v>44444</v>
      </c>
      <c r="D408" s="132"/>
      <c r="E408" s="132">
        <v>44445</v>
      </c>
      <c r="F408" s="132"/>
      <c r="G408" s="132"/>
      <c r="H408" s="132"/>
      <c r="I408" s="133" t="s">
        <v>665</v>
      </c>
      <c r="J408" s="133"/>
      <c r="K408" s="133"/>
      <c r="L408" s="133"/>
      <c r="M408" s="133"/>
      <c r="N408" s="134" t="s">
        <v>664</v>
      </c>
      <c r="O408" s="134"/>
      <c r="P408" s="134" t="s">
        <v>699</v>
      </c>
      <c r="Q408" s="134"/>
      <c r="R408" s="134"/>
      <c r="S408" s="134"/>
      <c r="T408" s="135">
        <v>3021040377</v>
      </c>
      <c r="U408" s="135"/>
      <c r="V408" s="136" t="s">
        <v>622</v>
      </c>
      <c r="W408" s="136"/>
      <c r="X408" s="129">
        <v>4500</v>
      </c>
      <c r="Y408" s="129"/>
      <c r="Z408" s="129">
        <v>4091</v>
      </c>
      <c r="AA408" s="129"/>
      <c r="AB408" s="129"/>
      <c r="AC408" s="129"/>
      <c r="AD408" s="129">
        <v>409</v>
      </c>
      <c r="AE408" s="129"/>
      <c r="AF408" s="129"/>
      <c r="AG408" s="129"/>
      <c r="AH408" s="129"/>
      <c r="AI408" s="129">
        <v>0</v>
      </c>
      <c r="AJ408" s="129"/>
      <c r="AK408" s="129"/>
    </row>
    <row r="409" spans="3:37" ht="14.85" customHeight="1" x14ac:dyDescent="0.15">
      <c r="C409" s="132">
        <v>44446</v>
      </c>
      <c r="D409" s="132"/>
      <c r="E409" s="132">
        <v>44447</v>
      </c>
      <c r="F409" s="132"/>
      <c r="G409" s="132"/>
      <c r="H409" s="132"/>
      <c r="I409" s="133" t="s">
        <v>621</v>
      </c>
      <c r="J409" s="133"/>
      <c r="K409" s="133"/>
      <c r="L409" s="133"/>
      <c r="M409" s="133"/>
      <c r="N409" s="134" t="s">
        <v>630</v>
      </c>
      <c r="O409" s="134"/>
      <c r="P409" s="134" t="s">
        <v>712</v>
      </c>
      <c r="Q409" s="134"/>
      <c r="R409" s="134"/>
      <c r="S409" s="134"/>
      <c r="T409" s="135">
        <v>1028142945</v>
      </c>
      <c r="U409" s="135"/>
      <c r="V409" s="136" t="s">
        <v>618</v>
      </c>
      <c r="W409" s="136"/>
      <c r="X409" s="129">
        <v>214530</v>
      </c>
      <c r="Y409" s="129"/>
      <c r="Z409" s="129">
        <v>214530</v>
      </c>
      <c r="AA409" s="129"/>
      <c r="AB409" s="129"/>
      <c r="AC409" s="129"/>
      <c r="AD409" s="129">
        <v>0</v>
      </c>
      <c r="AE409" s="129"/>
      <c r="AF409" s="129"/>
      <c r="AG409" s="129"/>
      <c r="AH409" s="129"/>
      <c r="AI409" s="129">
        <v>0</v>
      </c>
      <c r="AJ409" s="129"/>
      <c r="AK409" s="129"/>
    </row>
    <row r="410" spans="3:37" ht="14.85" customHeight="1" x14ac:dyDescent="0.15">
      <c r="C410" s="132">
        <v>44445</v>
      </c>
      <c r="D410" s="132"/>
      <c r="E410" s="132">
        <v>44447</v>
      </c>
      <c r="F410" s="132"/>
      <c r="G410" s="132"/>
      <c r="H410" s="132"/>
      <c r="I410" s="133" t="s">
        <v>621</v>
      </c>
      <c r="J410" s="133"/>
      <c r="K410" s="133"/>
      <c r="L410" s="133"/>
      <c r="M410" s="133"/>
      <c r="N410" s="134" t="s">
        <v>687</v>
      </c>
      <c r="O410" s="134"/>
      <c r="P410" s="134" t="s">
        <v>692</v>
      </c>
      <c r="Q410" s="134"/>
      <c r="R410" s="134"/>
      <c r="S410" s="134"/>
      <c r="T410" s="135">
        <v>5304900441</v>
      </c>
      <c r="U410" s="135"/>
      <c r="V410" s="136" t="s">
        <v>618</v>
      </c>
      <c r="W410" s="136"/>
      <c r="X410" s="129">
        <v>4500</v>
      </c>
      <c r="Y410" s="129"/>
      <c r="Z410" s="129">
        <v>4091</v>
      </c>
      <c r="AA410" s="129"/>
      <c r="AB410" s="129"/>
      <c r="AC410" s="129"/>
      <c r="AD410" s="129">
        <v>409</v>
      </c>
      <c r="AE410" s="129"/>
      <c r="AF410" s="129"/>
      <c r="AG410" s="129"/>
      <c r="AH410" s="129"/>
      <c r="AI410" s="129">
        <v>0</v>
      </c>
      <c r="AJ410" s="129"/>
      <c r="AK410" s="129"/>
    </row>
    <row r="411" spans="3:37" ht="14.85" customHeight="1" x14ac:dyDescent="0.15">
      <c r="C411" s="132">
        <v>44446</v>
      </c>
      <c r="D411" s="132"/>
      <c r="E411" s="132">
        <v>44447</v>
      </c>
      <c r="F411" s="132"/>
      <c r="G411" s="132"/>
      <c r="H411" s="132"/>
      <c r="I411" s="133" t="s">
        <v>621</v>
      </c>
      <c r="J411" s="133"/>
      <c r="K411" s="133"/>
      <c r="L411" s="133"/>
      <c r="M411" s="133"/>
      <c r="N411" s="134" t="s">
        <v>687</v>
      </c>
      <c r="O411" s="134"/>
      <c r="P411" s="134" t="s">
        <v>694</v>
      </c>
      <c r="Q411" s="134"/>
      <c r="R411" s="134"/>
      <c r="S411" s="134"/>
      <c r="T411" s="135">
        <v>1310434836</v>
      </c>
      <c r="U411" s="135"/>
      <c r="V411" s="136" t="s">
        <v>618</v>
      </c>
      <c r="W411" s="136"/>
      <c r="X411" s="129">
        <v>4500</v>
      </c>
      <c r="Y411" s="129"/>
      <c r="Z411" s="129">
        <v>4091</v>
      </c>
      <c r="AA411" s="129"/>
      <c r="AB411" s="129"/>
      <c r="AC411" s="129"/>
      <c r="AD411" s="129">
        <v>409</v>
      </c>
      <c r="AE411" s="129"/>
      <c r="AF411" s="129"/>
      <c r="AG411" s="129"/>
      <c r="AH411" s="129"/>
      <c r="AI411" s="129">
        <v>0</v>
      </c>
      <c r="AJ411" s="129"/>
      <c r="AK411" s="129"/>
    </row>
    <row r="412" spans="3:37" ht="14.85" customHeight="1" x14ac:dyDescent="0.15">
      <c r="C412" s="132">
        <v>44447</v>
      </c>
      <c r="D412" s="132"/>
      <c r="E412" s="132">
        <v>44448</v>
      </c>
      <c r="F412" s="132"/>
      <c r="G412" s="132"/>
      <c r="H412" s="132"/>
      <c r="I412" s="133" t="s">
        <v>621</v>
      </c>
      <c r="J412" s="133"/>
      <c r="K412" s="133"/>
      <c r="L412" s="133"/>
      <c r="M412" s="133"/>
      <c r="N412" s="134" t="s">
        <v>687</v>
      </c>
      <c r="O412" s="134"/>
      <c r="P412" s="134" t="s">
        <v>726</v>
      </c>
      <c r="Q412" s="134"/>
      <c r="R412" s="134"/>
      <c r="S412" s="134"/>
      <c r="T412" s="135">
        <v>1048183559</v>
      </c>
      <c r="U412" s="135"/>
      <c r="V412" s="136" t="s">
        <v>618</v>
      </c>
      <c r="W412" s="136"/>
      <c r="X412" s="129">
        <v>5200</v>
      </c>
      <c r="Y412" s="129"/>
      <c r="Z412" s="129">
        <v>5200</v>
      </c>
      <c r="AA412" s="129"/>
      <c r="AB412" s="129"/>
      <c r="AC412" s="129"/>
      <c r="AD412" s="129">
        <v>0</v>
      </c>
      <c r="AE412" s="129"/>
      <c r="AF412" s="129"/>
      <c r="AG412" s="129"/>
      <c r="AH412" s="129"/>
      <c r="AI412" s="129">
        <v>0</v>
      </c>
      <c r="AJ412" s="129"/>
      <c r="AK412" s="129"/>
    </row>
    <row r="413" spans="3:37" ht="14.85" customHeight="1" x14ac:dyDescent="0.15">
      <c r="C413" s="132">
        <v>44452</v>
      </c>
      <c r="D413" s="132"/>
      <c r="E413" s="132">
        <v>44449</v>
      </c>
      <c r="F413" s="132"/>
      <c r="G413" s="132"/>
      <c r="H413" s="132"/>
      <c r="I413" s="133" t="s">
        <v>621</v>
      </c>
      <c r="J413" s="133"/>
      <c r="K413" s="133"/>
      <c r="L413" s="133"/>
      <c r="M413" s="133"/>
      <c r="N413" s="134" t="s">
        <v>687</v>
      </c>
      <c r="O413" s="134"/>
      <c r="P413" s="134" t="s">
        <v>666</v>
      </c>
      <c r="Q413" s="134"/>
      <c r="R413" s="134"/>
      <c r="S413" s="134"/>
      <c r="T413" s="135">
        <v>2208139938</v>
      </c>
      <c r="U413" s="135"/>
      <c r="V413" s="136" t="s">
        <v>618</v>
      </c>
      <c r="W413" s="136"/>
      <c r="X413" s="129">
        <v>42050</v>
      </c>
      <c r="Y413" s="129"/>
      <c r="Z413" s="129">
        <v>42050</v>
      </c>
      <c r="AA413" s="129"/>
      <c r="AB413" s="129"/>
      <c r="AC413" s="129"/>
      <c r="AD413" s="129">
        <v>0</v>
      </c>
      <c r="AE413" s="129"/>
      <c r="AF413" s="129"/>
      <c r="AG413" s="129"/>
      <c r="AH413" s="129"/>
      <c r="AI413" s="129">
        <v>0</v>
      </c>
      <c r="AJ413" s="129"/>
      <c r="AK413" s="129"/>
    </row>
    <row r="414" spans="3:37" ht="14.85" customHeight="1" x14ac:dyDescent="0.15">
      <c r="C414" s="132">
        <v>44452</v>
      </c>
      <c r="D414" s="132"/>
      <c r="E414" s="132">
        <v>44449</v>
      </c>
      <c r="F414" s="132"/>
      <c r="G414" s="132"/>
      <c r="H414" s="132"/>
      <c r="I414" s="133" t="s">
        <v>621</v>
      </c>
      <c r="J414" s="133"/>
      <c r="K414" s="133"/>
      <c r="L414" s="133"/>
      <c r="M414" s="133"/>
      <c r="N414" s="134" t="s">
        <v>687</v>
      </c>
      <c r="O414" s="134"/>
      <c r="P414" s="134" t="s">
        <v>636</v>
      </c>
      <c r="Q414" s="134"/>
      <c r="R414" s="134"/>
      <c r="S414" s="134"/>
      <c r="T414" s="135">
        <v>2208139938</v>
      </c>
      <c r="U414" s="135"/>
      <c r="V414" s="136" t="s">
        <v>618</v>
      </c>
      <c r="W414" s="136"/>
      <c r="X414" s="129">
        <v>8760</v>
      </c>
      <c r="Y414" s="129"/>
      <c r="Z414" s="129">
        <v>8760</v>
      </c>
      <c r="AA414" s="129"/>
      <c r="AB414" s="129"/>
      <c r="AC414" s="129"/>
      <c r="AD414" s="129">
        <v>0</v>
      </c>
      <c r="AE414" s="129"/>
      <c r="AF414" s="129"/>
      <c r="AG414" s="129"/>
      <c r="AH414" s="129"/>
      <c r="AI414" s="129">
        <v>0</v>
      </c>
      <c r="AJ414" s="129"/>
      <c r="AK414" s="129"/>
    </row>
    <row r="415" spans="3:37" ht="14.85" customHeight="1" x14ac:dyDescent="0.15">
      <c r="C415" s="132">
        <v>44448</v>
      </c>
      <c r="D415" s="132"/>
      <c r="E415" s="132">
        <v>44449</v>
      </c>
      <c r="F415" s="132"/>
      <c r="G415" s="132"/>
      <c r="H415" s="132"/>
      <c r="I415" s="133" t="s">
        <v>621</v>
      </c>
      <c r="J415" s="133"/>
      <c r="K415" s="133"/>
      <c r="L415" s="133"/>
      <c r="M415" s="133"/>
      <c r="N415" s="134" t="s">
        <v>687</v>
      </c>
      <c r="O415" s="134"/>
      <c r="P415" s="134" t="s">
        <v>694</v>
      </c>
      <c r="Q415" s="134"/>
      <c r="R415" s="134"/>
      <c r="S415" s="134"/>
      <c r="T415" s="135">
        <v>1310434836</v>
      </c>
      <c r="U415" s="135"/>
      <c r="V415" s="136" t="s">
        <v>618</v>
      </c>
      <c r="W415" s="136"/>
      <c r="X415" s="129">
        <v>4500</v>
      </c>
      <c r="Y415" s="129"/>
      <c r="Z415" s="129">
        <v>4091</v>
      </c>
      <c r="AA415" s="129"/>
      <c r="AB415" s="129"/>
      <c r="AC415" s="129"/>
      <c r="AD415" s="129">
        <v>409</v>
      </c>
      <c r="AE415" s="129"/>
      <c r="AF415" s="129"/>
      <c r="AG415" s="129"/>
      <c r="AH415" s="129"/>
      <c r="AI415" s="129">
        <v>0</v>
      </c>
      <c r="AJ415" s="129"/>
      <c r="AK415" s="129"/>
    </row>
    <row r="416" spans="3:37" ht="14.85" customHeight="1" x14ac:dyDescent="0.15">
      <c r="C416" s="132">
        <v>44449</v>
      </c>
      <c r="D416" s="132"/>
      <c r="E416" s="132">
        <v>44450</v>
      </c>
      <c r="F416" s="132"/>
      <c r="G416" s="132"/>
      <c r="H416" s="132"/>
      <c r="I416" s="133" t="s">
        <v>621</v>
      </c>
      <c r="J416" s="133"/>
      <c r="K416" s="133"/>
      <c r="L416" s="133"/>
      <c r="M416" s="133"/>
      <c r="N416" s="134" t="s">
        <v>687</v>
      </c>
      <c r="O416" s="134"/>
      <c r="P416" s="134" t="s">
        <v>627</v>
      </c>
      <c r="Q416" s="134"/>
      <c r="R416" s="134"/>
      <c r="S416" s="134"/>
      <c r="T416" s="135">
        <v>2329300384</v>
      </c>
      <c r="U416" s="135"/>
      <c r="V416" s="136" t="s">
        <v>626</v>
      </c>
      <c r="W416" s="136"/>
      <c r="X416" s="129">
        <v>19000</v>
      </c>
      <c r="Y416" s="129"/>
      <c r="Z416" s="129">
        <v>19000</v>
      </c>
      <c r="AA416" s="129"/>
      <c r="AB416" s="129"/>
      <c r="AC416" s="129"/>
      <c r="AD416" s="129">
        <v>0</v>
      </c>
      <c r="AE416" s="129"/>
      <c r="AF416" s="129"/>
      <c r="AG416" s="129"/>
      <c r="AH416" s="129"/>
      <c r="AI416" s="129">
        <v>0</v>
      </c>
      <c r="AJ416" s="129"/>
      <c r="AK416" s="129"/>
    </row>
    <row r="417" spans="3:37" ht="14.85" customHeight="1" x14ac:dyDescent="0.15">
      <c r="C417" s="132">
        <v>44449</v>
      </c>
      <c r="D417" s="132"/>
      <c r="E417" s="132">
        <v>44450</v>
      </c>
      <c r="F417" s="132"/>
      <c r="G417" s="132"/>
      <c r="H417" s="132"/>
      <c r="I417" s="133" t="s">
        <v>621</v>
      </c>
      <c r="J417" s="133"/>
      <c r="K417" s="133"/>
      <c r="L417" s="133"/>
      <c r="M417" s="133"/>
      <c r="N417" s="134" t="s">
        <v>687</v>
      </c>
      <c r="O417" s="134"/>
      <c r="P417" s="134" t="s">
        <v>699</v>
      </c>
      <c r="Q417" s="134"/>
      <c r="R417" s="134"/>
      <c r="S417" s="134"/>
      <c r="T417" s="135">
        <v>3021040377</v>
      </c>
      <c r="U417" s="135"/>
      <c r="V417" s="136" t="s">
        <v>622</v>
      </c>
      <c r="W417" s="136"/>
      <c r="X417" s="129">
        <v>4800</v>
      </c>
      <c r="Y417" s="129"/>
      <c r="Z417" s="129">
        <v>4364</v>
      </c>
      <c r="AA417" s="129"/>
      <c r="AB417" s="129"/>
      <c r="AC417" s="129"/>
      <c r="AD417" s="129">
        <v>436</v>
      </c>
      <c r="AE417" s="129"/>
      <c r="AF417" s="129"/>
      <c r="AG417" s="129"/>
      <c r="AH417" s="129"/>
      <c r="AI417" s="129">
        <v>0</v>
      </c>
      <c r="AJ417" s="129"/>
      <c r="AK417" s="129"/>
    </row>
    <row r="418" spans="3:37" ht="14.85" customHeight="1" x14ac:dyDescent="0.15">
      <c r="C418" s="132">
        <v>44449</v>
      </c>
      <c r="D418" s="132"/>
      <c r="E418" s="132">
        <v>44451</v>
      </c>
      <c r="F418" s="132"/>
      <c r="G418" s="132"/>
      <c r="H418" s="132"/>
      <c r="I418" s="133" t="s">
        <v>621</v>
      </c>
      <c r="J418" s="133"/>
      <c r="K418" s="133"/>
      <c r="L418" s="133"/>
      <c r="M418" s="133"/>
      <c r="N418" s="134" t="s">
        <v>687</v>
      </c>
      <c r="O418" s="134"/>
      <c r="P418" s="134" t="s">
        <v>692</v>
      </c>
      <c r="Q418" s="134"/>
      <c r="R418" s="134"/>
      <c r="S418" s="134"/>
      <c r="T418" s="135">
        <v>5304900441</v>
      </c>
      <c r="U418" s="135"/>
      <c r="V418" s="136" t="s">
        <v>618</v>
      </c>
      <c r="W418" s="136"/>
      <c r="X418" s="129">
        <v>4500</v>
      </c>
      <c r="Y418" s="129"/>
      <c r="Z418" s="129">
        <v>4091</v>
      </c>
      <c r="AA418" s="129"/>
      <c r="AB418" s="129"/>
      <c r="AC418" s="129"/>
      <c r="AD418" s="129">
        <v>409</v>
      </c>
      <c r="AE418" s="129"/>
      <c r="AF418" s="129"/>
      <c r="AG418" s="129"/>
      <c r="AH418" s="129"/>
      <c r="AI418" s="129">
        <v>0</v>
      </c>
      <c r="AJ418" s="129"/>
      <c r="AK418" s="129"/>
    </row>
    <row r="419" spans="3:37" ht="14.85" customHeight="1" x14ac:dyDescent="0.15">
      <c r="C419" s="132">
        <v>44450</v>
      </c>
      <c r="D419" s="132"/>
      <c r="E419" s="132">
        <v>44451</v>
      </c>
      <c r="F419" s="132"/>
      <c r="G419" s="132"/>
      <c r="H419" s="132"/>
      <c r="I419" s="133" t="s">
        <v>621</v>
      </c>
      <c r="J419" s="133"/>
      <c r="K419" s="133"/>
      <c r="L419" s="133"/>
      <c r="M419" s="133"/>
      <c r="N419" s="134" t="s">
        <v>687</v>
      </c>
      <c r="O419" s="134"/>
      <c r="P419" s="134" t="s">
        <v>673</v>
      </c>
      <c r="Q419" s="134"/>
      <c r="R419" s="134"/>
      <c r="S419" s="134"/>
      <c r="T419" s="135">
        <v>1318553360</v>
      </c>
      <c r="U419" s="135"/>
      <c r="V419" s="136" t="s">
        <v>618</v>
      </c>
      <c r="W419" s="136"/>
      <c r="X419" s="129">
        <v>93580</v>
      </c>
      <c r="Y419" s="129"/>
      <c r="Z419" s="129">
        <v>87472</v>
      </c>
      <c r="AA419" s="129"/>
      <c r="AB419" s="129"/>
      <c r="AC419" s="129"/>
      <c r="AD419" s="129">
        <v>6108</v>
      </c>
      <c r="AE419" s="129"/>
      <c r="AF419" s="129"/>
      <c r="AG419" s="129"/>
      <c r="AH419" s="129"/>
      <c r="AI419" s="129">
        <v>0</v>
      </c>
      <c r="AJ419" s="129"/>
      <c r="AK419" s="129"/>
    </row>
    <row r="420" spans="3:37" ht="14.85" customHeight="1" x14ac:dyDescent="0.15">
      <c r="C420" s="132">
        <v>44450</v>
      </c>
      <c r="D420" s="132"/>
      <c r="E420" s="132">
        <v>44451</v>
      </c>
      <c r="F420" s="132"/>
      <c r="G420" s="132"/>
      <c r="H420" s="132"/>
      <c r="I420" s="133" t="s">
        <v>665</v>
      </c>
      <c r="J420" s="133"/>
      <c r="K420" s="133"/>
      <c r="L420" s="133"/>
      <c r="M420" s="133"/>
      <c r="N420" s="134" t="s">
        <v>664</v>
      </c>
      <c r="O420" s="134"/>
      <c r="P420" s="134" t="s">
        <v>694</v>
      </c>
      <c r="Q420" s="134"/>
      <c r="R420" s="134"/>
      <c r="S420" s="134"/>
      <c r="T420" s="135">
        <v>1310434836</v>
      </c>
      <c r="U420" s="135"/>
      <c r="V420" s="136" t="s">
        <v>618</v>
      </c>
      <c r="W420" s="136"/>
      <c r="X420" s="129">
        <v>4500</v>
      </c>
      <c r="Y420" s="129"/>
      <c r="Z420" s="129">
        <v>4091</v>
      </c>
      <c r="AA420" s="129"/>
      <c r="AB420" s="129"/>
      <c r="AC420" s="129"/>
      <c r="AD420" s="129">
        <v>409</v>
      </c>
      <c r="AE420" s="129"/>
      <c r="AF420" s="129"/>
      <c r="AG420" s="129"/>
      <c r="AH420" s="129"/>
      <c r="AI420" s="129">
        <v>0</v>
      </c>
      <c r="AJ420" s="129"/>
      <c r="AK420" s="129"/>
    </row>
    <row r="421" spans="3:37" ht="29.65" customHeight="1" x14ac:dyDescent="0.15">
      <c r="V421" s="137" t="s">
        <v>617</v>
      </c>
      <c r="W421" s="137"/>
    </row>
    <row r="422" spans="3:37" ht="14.85" customHeight="1" x14ac:dyDescent="0.15">
      <c r="C422" s="132">
        <v>44451</v>
      </c>
      <c r="D422" s="132"/>
      <c r="E422" s="132">
        <v>44452</v>
      </c>
      <c r="F422" s="132"/>
      <c r="G422" s="132"/>
      <c r="H422" s="132"/>
      <c r="I422" s="133" t="s">
        <v>621</v>
      </c>
      <c r="J422" s="133"/>
      <c r="K422" s="133"/>
      <c r="L422" s="133"/>
      <c r="M422" s="133"/>
      <c r="N422" s="134" t="s">
        <v>687</v>
      </c>
      <c r="O422" s="134"/>
      <c r="P422" s="134" t="s">
        <v>725</v>
      </c>
      <c r="Q422" s="134"/>
      <c r="R422" s="134"/>
      <c r="S422" s="134"/>
      <c r="T422" s="135">
        <v>1219152458</v>
      </c>
      <c r="U422" s="135"/>
      <c r="V422" s="136" t="s">
        <v>626</v>
      </c>
      <c r="W422" s="136"/>
      <c r="X422" s="129">
        <v>30000</v>
      </c>
      <c r="Y422" s="129"/>
      <c r="Z422" s="129">
        <v>30000</v>
      </c>
      <c r="AA422" s="129"/>
      <c r="AB422" s="129"/>
      <c r="AC422" s="129"/>
      <c r="AD422" s="129">
        <v>0</v>
      </c>
      <c r="AE422" s="129"/>
      <c r="AF422" s="129"/>
      <c r="AG422" s="129"/>
      <c r="AH422" s="129"/>
      <c r="AI422" s="129">
        <v>0</v>
      </c>
      <c r="AJ422" s="129"/>
      <c r="AK422" s="129"/>
    </row>
    <row r="423" spans="3:37" ht="14.85" customHeight="1" x14ac:dyDescent="0.15">
      <c r="C423" s="132">
        <v>44451</v>
      </c>
      <c r="D423" s="132"/>
      <c r="E423" s="132">
        <v>44452</v>
      </c>
      <c r="F423" s="132"/>
      <c r="G423" s="132"/>
      <c r="H423" s="132"/>
      <c r="I423" s="133" t="s">
        <v>621</v>
      </c>
      <c r="J423" s="133"/>
      <c r="K423" s="133"/>
      <c r="L423" s="133"/>
      <c r="M423" s="133"/>
      <c r="N423" s="134" t="s">
        <v>687</v>
      </c>
      <c r="O423" s="134"/>
      <c r="P423" s="134" t="s">
        <v>724</v>
      </c>
      <c r="Q423" s="134"/>
      <c r="R423" s="134"/>
      <c r="S423" s="134"/>
      <c r="T423" s="135">
        <v>1219851647</v>
      </c>
      <c r="U423" s="135"/>
      <c r="V423" s="136" t="s">
        <v>626</v>
      </c>
      <c r="W423" s="136"/>
      <c r="X423" s="129">
        <v>20000</v>
      </c>
      <c r="Y423" s="129"/>
      <c r="Z423" s="129">
        <v>20000</v>
      </c>
      <c r="AA423" s="129"/>
      <c r="AB423" s="129"/>
      <c r="AC423" s="129"/>
      <c r="AD423" s="129">
        <v>0</v>
      </c>
      <c r="AE423" s="129"/>
      <c r="AF423" s="129"/>
      <c r="AG423" s="129"/>
      <c r="AH423" s="129"/>
      <c r="AI423" s="129">
        <v>0</v>
      </c>
      <c r="AJ423" s="129"/>
      <c r="AK423" s="129"/>
    </row>
    <row r="424" spans="3:37" ht="14.85" customHeight="1" x14ac:dyDescent="0.15">
      <c r="C424" s="132">
        <v>44452</v>
      </c>
      <c r="D424" s="132"/>
      <c r="E424" s="132">
        <v>44453</v>
      </c>
      <c r="F424" s="132"/>
      <c r="G424" s="132"/>
      <c r="H424" s="132"/>
      <c r="I424" s="133" t="s">
        <v>621</v>
      </c>
      <c r="J424" s="133"/>
      <c r="K424" s="133"/>
      <c r="L424" s="133"/>
      <c r="M424" s="133"/>
      <c r="N424" s="134" t="s">
        <v>687</v>
      </c>
      <c r="O424" s="134"/>
      <c r="P424" s="134" t="s">
        <v>723</v>
      </c>
      <c r="Q424" s="134"/>
      <c r="R424" s="134"/>
      <c r="S424" s="134"/>
      <c r="T424" s="135">
        <v>1312773935</v>
      </c>
      <c r="U424" s="135"/>
      <c r="V424" s="136" t="s">
        <v>622</v>
      </c>
      <c r="W424" s="136"/>
      <c r="X424" s="129">
        <v>32000</v>
      </c>
      <c r="Y424" s="129"/>
      <c r="Z424" s="129">
        <v>29091</v>
      </c>
      <c r="AA424" s="129"/>
      <c r="AB424" s="129"/>
      <c r="AC424" s="129"/>
      <c r="AD424" s="129">
        <v>2909</v>
      </c>
      <c r="AE424" s="129"/>
      <c r="AF424" s="129"/>
      <c r="AG424" s="129"/>
      <c r="AH424" s="129"/>
      <c r="AI424" s="129">
        <v>0</v>
      </c>
      <c r="AJ424" s="129"/>
      <c r="AK424" s="129"/>
    </row>
    <row r="425" spans="3:37" ht="14.85" customHeight="1" x14ac:dyDescent="0.15">
      <c r="C425" s="132">
        <v>44452</v>
      </c>
      <c r="D425" s="132"/>
      <c r="E425" s="132">
        <v>44453</v>
      </c>
      <c r="F425" s="132"/>
      <c r="G425" s="132"/>
      <c r="H425" s="132"/>
      <c r="I425" s="133" t="s">
        <v>621</v>
      </c>
      <c r="J425" s="133"/>
      <c r="K425" s="133"/>
      <c r="L425" s="133"/>
      <c r="M425" s="133"/>
      <c r="N425" s="134" t="s">
        <v>687</v>
      </c>
      <c r="O425" s="134"/>
      <c r="P425" s="134" t="s">
        <v>694</v>
      </c>
      <c r="Q425" s="134"/>
      <c r="R425" s="134"/>
      <c r="S425" s="134"/>
      <c r="T425" s="135">
        <v>1310434836</v>
      </c>
      <c r="U425" s="135"/>
      <c r="V425" s="136" t="s">
        <v>618</v>
      </c>
      <c r="W425" s="136"/>
      <c r="X425" s="129">
        <v>4500</v>
      </c>
      <c r="Y425" s="129"/>
      <c r="Z425" s="129">
        <v>4091</v>
      </c>
      <c r="AA425" s="129"/>
      <c r="AB425" s="129"/>
      <c r="AC425" s="129"/>
      <c r="AD425" s="129">
        <v>409</v>
      </c>
      <c r="AE425" s="129"/>
      <c r="AF425" s="129"/>
      <c r="AG425" s="129"/>
      <c r="AH425" s="129"/>
      <c r="AI425" s="129">
        <v>0</v>
      </c>
      <c r="AJ425" s="129"/>
      <c r="AK425" s="129"/>
    </row>
    <row r="426" spans="3:37" ht="14.85" customHeight="1" x14ac:dyDescent="0.15">
      <c r="C426" s="132">
        <v>44453</v>
      </c>
      <c r="D426" s="132"/>
      <c r="E426" s="132">
        <v>44454</v>
      </c>
      <c r="F426" s="132"/>
      <c r="G426" s="132"/>
      <c r="H426" s="132"/>
      <c r="I426" s="133" t="s">
        <v>621</v>
      </c>
      <c r="J426" s="133"/>
      <c r="K426" s="133"/>
      <c r="L426" s="133"/>
      <c r="M426" s="133"/>
      <c r="N426" s="134" t="s">
        <v>687</v>
      </c>
      <c r="O426" s="134"/>
      <c r="P426" s="134" t="s">
        <v>627</v>
      </c>
      <c r="Q426" s="134"/>
      <c r="R426" s="134"/>
      <c r="S426" s="134"/>
      <c r="T426" s="135">
        <v>2329300384</v>
      </c>
      <c r="U426" s="135"/>
      <c r="V426" s="136" t="s">
        <v>626</v>
      </c>
      <c r="W426" s="136"/>
      <c r="X426" s="129">
        <v>4100</v>
      </c>
      <c r="Y426" s="129"/>
      <c r="Z426" s="129">
        <v>3727</v>
      </c>
      <c r="AA426" s="129"/>
      <c r="AB426" s="129"/>
      <c r="AC426" s="129"/>
      <c r="AD426" s="129">
        <v>373</v>
      </c>
      <c r="AE426" s="129"/>
      <c r="AF426" s="129"/>
      <c r="AG426" s="129"/>
      <c r="AH426" s="129"/>
      <c r="AI426" s="129">
        <v>0</v>
      </c>
      <c r="AJ426" s="129"/>
      <c r="AK426" s="129"/>
    </row>
    <row r="427" spans="3:37" ht="14.85" customHeight="1" x14ac:dyDescent="0.15">
      <c r="C427" s="132">
        <v>44453</v>
      </c>
      <c r="D427" s="132"/>
      <c r="E427" s="132">
        <v>44454</v>
      </c>
      <c r="F427" s="132"/>
      <c r="G427" s="132"/>
      <c r="H427" s="132"/>
      <c r="I427" s="133" t="s">
        <v>621</v>
      </c>
      <c r="J427" s="133"/>
      <c r="K427" s="133"/>
      <c r="L427" s="133"/>
      <c r="M427" s="133"/>
      <c r="N427" s="134" t="s">
        <v>687</v>
      </c>
      <c r="O427" s="134"/>
      <c r="P427" s="134" t="s">
        <v>625</v>
      </c>
      <c r="Q427" s="134"/>
      <c r="R427" s="134"/>
      <c r="S427" s="134"/>
      <c r="T427" s="135">
        <v>6073354644</v>
      </c>
      <c r="U427" s="135"/>
      <c r="V427" s="136" t="s">
        <v>618</v>
      </c>
      <c r="W427" s="136"/>
      <c r="X427" s="129">
        <v>31600</v>
      </c>
      <c r="Y427" s="129"/>
      <c r="Z427" s="129">
        <v>31600</v>
      </c>
      <c r="AA427" s="129"/>
      <c r="AB427" s="129"/>
      <c r="AC427" s="129"/>
      <c r="AD427" s="129">
        <v>0</v>
      </c>
      <c r="AE427" s="129"/>
      <c r="AF427" s="129"/>
      <c r="AG427" s="129"/>
      <c r="AH427" s="129"/>
      <c r="AI427" s="129">
        <v>0</v>
      </c>
      <c r="AJ427" s="129"/>
      <c r="AK427" s="129"/>
    </row>
    <row r="428" spans="3:37" ht="14.85" customHeight="1" x14ac:dyDescent="0.15">
      <c r="C428" s="132">
        <v>44453</v>
      </c>
      <c r="D428" s="132"/>
      <c r="E428" s="132">
        <v>44454</v>
      </c>
      <c r="F428" s="132"/>
      <c r="G428" s="132"/>
      <c r="H428" s="132"/>
      <c r="I428" s="133" t="s">
        <v>621</v>
      </c>
      <c r="J428" s="133"/>
      <c r="K428" s="133"/>
      <c r="L428" s="133"/>
      <c r="M428" s="133"/>
      <c r="N428" s="134" t="s">
        <v>687</v>
      </c>
      <c r="O428" s="134"/>
      <c r="P428" s="134" t="s">
        <v>655</v>
      </c>
      <c r="Q428" s="134"/>
      <c r="R428" s="134"/>
      <c r="S428" s="134"/>
      <c r="T428" s="135">
        <v>7521100257</v>
      </c>
      <c r="U428" s="135"/>
      <c r="V428" s="136" t="s">
        <v>618</v>
      </c>
      <c r="W428" s="136"/>
      <c r="X428" s="129">
        <v>14000</v>
      </c>
      <c r="Y428" s="129"/>
      <c r="Z428" s="129">
        <v>12727</v>
      </c>
      <c r="AA428" s="129"/>
      <c r="AB428" s="129"/>
      <c r="AC428" s="129"/>
      <c r="AD428" s="129">
        <v>1273</v>
      </c>
      <c r="AE428" s="129"/>
      <c r="AF428" s="129"/>
      <c r="AG428" s="129"/>
      <c r="AH428" s="129"/>
      <c r="AI428" s="129">
        <v>0</v>
      </c>
      <c r="AJ428" s="129"/>
      <c r="AK428" s="129"/>
    </row>
    <row r="429" spans="3:37" ht="14.85" customHeight="1" x14ac:dyDescent="0.15">
      <c r="C429" s="132">
        <v>44453</v>
      </c>
      <c r="D429" s="132"/>
      <c r="E429" s="132">
        <v>44455</v>
      </c>
      <c r="F429" s="132"/>
      <c r="G429" s="132"/>
      <c r="H429" s="132"/>
      <c r="I429" s="133" t="s">
        <v>621</v>
      </c>
      <c r="J429" s="133"/>
      <c r="K429" s="133"/>
      <c r="L429" s="133"/>
      <c r="M429" s="133"/>
      <c r="N429" s="134" t="s">
        <v>687</v>
      </c>
      <c r="O429" s="134"/>
      <c r="P429" s="134" t="s">
        <v>692</v>
      </c>
      <c r="Q429" s="134"/>
      <c r="R429" s="134"/>
      <c r="S429" s="134"/>
      <c r="T429" s="135">
        <v>5304900441</v>
      </c>
      <c r="U429" s="135"/>
      <c r="V429" s="136" t="s">
        <v>618</v>
      </c>
      <c r="W429" s="136"/>
      <c r="X429" s="129">
        <v>4500</v>
      </c>
      <c r="Y429" s="129"/>
      <c r="Z429" s="129">
        <v>4091</v>
      </c>
      <c r="AA429" s="129"/>
      <c r="AB429" s="129"/>
      <c r="AC429" s="129"/>
      <c r="AD429" s="129">
        <v>409</v>
      </c>
      <c r="AE429" s="129"/>
      <c r="AF429" s="129"/>
      <c r="AG429" s="129"/>
      <c r="AH429" s="129"/>
      <c r="AI429" s="129">
        <v>0</v>
      </c>
      <c r="AJ429" s="129"/>
      <c r="AK429" s="129"/>
    </row>
    <row r="430" spans="3:37" ht="14.85" customHeight="1" x14ac:dyDescent="0.15">
      <c r="C430" s="132">
        <v>44454</v>
      </c>
      <c r="D430" s="132"/>
      <c r="E430" s="132">
        <v>44455</v>
      </c>
      <c r="F430" s="132"/>
      <c r="G430" s="132"/>
      <c r="H430" s="132"/>
      <c r="I430" s="133" t="s">
        <v>621</v>
      </c>
      <c r="J430" s="133"/>
      <c r="K430" s="133"/>
      <c r="L430" s="133"/>
      <c r="M430" s="133"/>
      <c r="N430" s="134" t="s">
        <v>687</v>
      </c>
      <c r="O430" s="134"/>
      <c r="P430" s="134" t="s">
        <v>722</v>
      </c>
      <c r="Q430" s="134"/>
      <c r="R430" s="134"/>
      <c r="S430" s="134"/>
      <c r="T430" s="135">
        <v>2361901707</v>
      </c>
      <c r="U430" s="135"/>
      <c r="V430" s="136" t="s">
        <v>622</v>
      </c>
      <c r="W430" s="136"/>
      <c r="X430" s="129">
        <v>4500</v>
      </c>
      <c r="Y430" s="129"/>
      <c r="Z430" s="129">
        <v>4091</v>
      </c>
      <c r="AA430" s="129"/>
      <c r="AB430" s="129"/>
      <c r="AC430" s="129"/>
      <c r="AD430" s="129">
        <v>409</v>
      </c>
      <c r="AE430" s="129"/>
      <c r="AF430" s="129"/>
      <c r="AG430" s="129"/>
      <c r="AH430" s="129"/>
      <c r="AI430" s="129">
        <v>0</v>
      </c>
      <c r="AJ430" s="129"/>
      <c r="AK430" s="129"/>
    </row>
    <row r="431" spans="3:37" ht="14.85" customHeight="1" x14ac:dyDescent="0.15">
      <c r="C431" s="132">
        <v>44455</v>
      </c>
      <c r="D431" s="132"/>
      <c r="E431" s="132">
        <v>44456</v>
      </c>
      <c r="F431" s="132"/>
      <c r="G431" s="132"/>
      <c r="H431" s="132"/>
      <c r="I431" s="133" t="s">
        <v>665</v>
      </c>
      <c r="J431" s="133"/>
      <c r="K431" s="133"/>
      <c r="L431" s="133"/>
      <c r="M431" s="133"/>
      <c r="N431" s="134" t="s">
        <v>664</v>
      </c>
      <c r="O431" s="134"/>
      <c r="P431" s="134" t="s">
        <v>721</v>
      </c>
      <c r="Q431" s="134"/>
      <c r="R431" s="134"/>
      <c r="S431" s="134"/>
      <c r="T431" s="135">
        <v>8336700209</v>
      </c>
      <c r="U431" s="135"/>
      <c r="V431" s="136" t="s">
        <v>618</v>
      </c>
      <c r="W431" s="136"/>
      <c r="X431" s="129">
        <v>14000</v>
      </c>
      <c r="Y431" s="129"/>
      <c r="Z431" s="129">
        <v>12727</v>
      </c>
      <c r="AA431" s="129"/>
      <c r="AB431" s="129"/>
      <c r="AC431" s="129"/>
      <c r="AD431" s="129">
        <v>1273</v>
      </c>
      <c r="AE431" s="129"/>
      <c r="AF431" s="129"/>
      <c r="AG431" s="129"/>
      <c r="AH431" s="129"/>
      <c r="AI431" s="129">
        <v>0</v>
      </c>
      <c r="AJ431" s="129"/>
      <c r="AK431" s="129"/>
    </row>
    <row r="432" spans="3:37" ht="14.85" customHeight="1" x14ac:dyDescent="0.15">
      <c r="C432" s="132">
        <v>44456</v>
      </c>
      <c r="D432" s="132"/>
      <c r="E432" s="132">
        <v>44458</v>
      </c>
      <c r="F432" s="132"/>
      <c r="G432" s="132"/>
      <c r="H432" s="132"/>
      <c r="I432" s="133" t="s">
        <v>665</v>
      </c>
      <c r="J432" s="133"/>
      <c r="K432" s="133"/>
      <c r="L432" s="133"/>
      <c r="M432" s="133"/>
      <c r="N432" s="134" t="s">
        <v>664</v>
      </c>
      <c r="O432" s="134"/>
      <c r="P432" s="134" t="s">
        <v>720</v>
      </c>
      <c r="Q432" s="134"/>
      <c r="R432" s="134"/>
      <c r="S432" s="134"/>
      <c r="T432" s="135">
        <v>7138501043</v>
      </c>
      <c r="U432" s="135"/>
      <c r="V432" s="136" t="s">
        <v>618</v>
      </c>
      <c r="W432" s="136"/>
      <c r="X432" s="129">
        <v>4500</v>
      </c>
      <c r="Y432" s="129"/>
      <c r="Z432" s="129">
        <v>4091</v>
      </c>
      <c r="AA432" s="129"/>
      <c r="AB432" s="129"/>
      <c r="AC432" s="129"/>
      <c r="AD432" s="129">
        <v>409</v>
      </c>
      <c r="AE432" s="129"/>
      <c r="AF432" s="129"/>
      <c r="AG432" s="129"/>
      <c r="AH432" s="129"/>
      <c r="AI432" s="129">
        <v>0</v>
      </c>
      <c r="AJ432" s="129"/>
      <c r="AK432" s="129"/>
    </row>
    <row r="433" spans="3:37" ht="14.85" customHeight="1" x14ac:dyDescent="0.15">
      <c r="C433" s="132">
        <v>44457</v>
      </c>
      <c r="D433" s="132"/>
      <c r="E433" s="132">
        <v>44459</v>
      </c>
      <c r="F433" s="132"/>
      <c r="G433" s="132"/>
      <c r="H433" s="132"/>
      <c r="I433" s="133" t="s">
        <v>665</v>
      </c>
      <c r="J433" s="133"/>
      <c r="K433" s="133"/>
      <c r="L433" s="133"/>
      <c r="M433" s="133"/>
      <c r="N433" s="134" t="s">
        <v>664</v>
      </c>
      <c r="O433" s="134"/>
      <c r="P433" s="134" t="s">
        <v>692</v>
      </c>
      <c r="Q433" s="134"/>
      <c r="R433" s="134"/>
      <c r="S433" s="134"/>
      <c r="T433" s="135">
        <v>5304900441</v>
      </c>
      <c r="U433" s="135"/>
      <c r="V433" s="136" t="s">
        <v>618</v>
      </c>
      <c r="W433" s="136"/>
      <c r="X433" s="129">
        <v>4500</v>
      </c>
      <c r="Y433" s="129"/>
      <c r="Z433" s="129">
        <v>4091</v>
      </c>
      <c r="AA433" s="129"/>
      <c r="AB433" s="129"/>
      <c r="AC433" s="129"/>
      <c r="AD433" s="129">
        <v>409</v>
      </c>
      <c r="AE433" s="129"/>
      <c r="AF433" s="129"/>
      <c r="AG433" s="129"/>
      <c r="AH433" s="129"/>
      <c r="AI433" s="129">
        <v>0</v>
      </c>
      <c r="AJ433" s="129"/>
      <c r="AK433" s="129"/>
    </row>
    <row r="434" spans="3:37" ht="14.85" customHeight="1" x14ac:dyDescent="0.15">
      <c r="C434" s="132">
        <v>44459</v>
      </c>
      <c r="D434" s="132"/>
      <c r="E434" s="132">
        <v>44460</v>
      </c>
      <c r="F434" s="132"/>
      <c r="G434" s="132"/>
      <c r="H434" s="132"/>
      <c r="I434" s="133" t="s">
        <v>665</v>
      </c>
      <c r="J434" s="133"/>
      <c r="K434" s="133"/>
      <c r="L434" s="133"/>
      <c r="M434" s="133"/>
      <c r="N434" s="134" t="s">
        <v>664</v>
      </c>
      <c r="O434" s="134"/>
      <c r="P434" s="134" t="s">
        <v>694</v>
      </c>
      <c r="Q434" s="134"/>
      <c r="R434" s="134"/>
      <c r="S434" s="134"/>
      <c r="T434" s="135">
        <v>1310434836</v>
      </c>
      <c r="U434" s="135"/>
      <c r="V434" s="136" t="s">
        <v>618</v>
      </c>
      <c r="W434" s="136"/>
      <c r="X434" s="129">
        <v>4500</v>
      </c>
      <c r="Y434" s="129"/>
      <c r="Z434" s="129">
        <v>4091</v>
      </c>
      <c r="AA434" s="129"/>
      <c r="AB434" s="129"/>
      <c r="AC434" s="129"/>
      <c r="AD434" s="129">
        <v>409</v>
      </c>
      <c r="AE434" s="129"/>
      <c r="AF434" s="129"/>
      <c r="AG434" s="129"/>
      <c r="AH434" s="129"/>
      <c r="AI434" s="129">
        <v>0</v>
      </c>
      <c r="AJ434" s="129"/>
      <c r="AK434" s="129"/>
    </row>
    <row r="435" spans="3:37" ht="14.85" customHeight="1" x14ac:dyDescent="0.15">
      <c r="C435" s="132">
        <v>44461</v>
      </c>
      <c r="D435" s="132"/>
      <c r="E435" s="132">
        <v>44462</v>
      </c>
      <c r="F435" s="132"/>
      <c r="G435" s="132"/>
      <c r="H435" s="132"/>
      <c r="I435" s="133" t="s">
        <v>665</v>
      </c>
      <c r="J435" s="133"/>
      <c r="K435" s="133"/>
      <c r="L435" s="133"/>
      <c r="M435" s="133"/>
      <c r="N435" s="134" t="s">
        <v>664</v>
      </c>
      <c r="O435" s="134"/>
      <c r="P435" s="134" t="s">
        <v>699</v>
      </c>
      <c r="Q435" s="134"/>
      <c r="R435" s="134"/>
      <c r="S435" s="134"/>
      <c r="T435" s="135">
        <v>3021040377</v>
      </c>
      <c r="U435" s="135"/>
      <c r="V435" s="136" t="s">
        <v>622</v>
      </c>
      <c r="W435" s="136"/>
      <c r="X435" s="129">
        <v>4500</v>
      </c>
      <c r="Y435" s="129"/>
      <c r="Z435" s="129">
        <v>4091</v>
      </c>
      <c r="AA435" s="129"/>
      <c r="AB435" s="129"/>
      <c r="AC435" s="129"/>
      <c r="AD435" s="129">
        <v>409</v>
      </c>
      <c r="AE435" s="129"/>
      <c r="AF435" s="129"/>
      <c r="AG435" s="129"/>
      <c r="AH435" s="129"/>
      <c r="AI435" s="129">
        <v>0</v>
      </c>
      <c r="AJ435" s="129"/>
      <c r="AK435" s="129"/>
    </row>
    <row r="436" spans="3:37" ht="14.85" customHeight="1" x14ac:dyDescent="0.15">
      <c r="C436" s="132">
        <v>44463</v>
      </c>
      <c r="D436" s="132"/>
      <c r="E436" s="132">
        <v>44465</v>
      </c>
      <c r="F436" s="132"/>
      <c r="G436" s="132"/>
      <c r="H436" s="132"/>
      <c r="I436" s="133" t="s">
        <v>665</v>
      </c>
      <c r="J436" s="133"/>
      <c r="K436" s="133"/>
      <c r="L436" s="133"/>
      <c r="M436" s="133"/>
      <c r="N436" s="134" t="s">
        <v>664</v>
      </c>
      <c r="O436" s="134"/>
      <c r="P436" s="134" t="s">
        <v>692</v>
      </c>
      <c r="Q436" s="134"/>
      <c r="R436" s="134"/>
      <c r="S436" s="134"/>
      <c r="T436" s="135">
        <v>5304900441</v>
      </c>
      <c r="U436" s="135"/>
      <c r="V436" s="136" t="s">
        <v>618</v>
      </c>
      <c r="W436" s="136"/>
      <c r="X436" s="129">
        <v>4500</v>
      </c>
      <c r="Y436" s="129"/>
      <c r="Z436" s="129">
        <v>4091</v>
      </c>
      <c r="AA436" s="129"/>
      <c r="AB436" s="129"/>
      <c r="AC436" s="129"/>
      <c r="AD436" s="129">
        <v>409</v>
      </c>
      <c r="AE436" s="129"/>
      <c r="AF436" s="129"/>
      <c r="AG436" s="129"/>
      <c r="AH436" s="129"/>
      <c r="AI436" s="129">
        <v>0</v>
      </c>
      <c r="AJ436" s="129"/>
      <c r="AK436" s="129"/>
    </row>
    <row r="437" spans="3:37" ht="14.85" customHeight="1" x14ac:dyDescent="0.15">
      <c r="C437" s="132">
        <v>44464</v>
      </c>
      <c r="D437" s="132"/>
      <c r="E437" s="132">
        <v>44465</v>
      </c>
      <c r="F437" s="132"/>
      <c r="G437" s="132"/>
      <c r="H437" s="132"/>
      <c r="I437" s="133" t="s">
        <v>665</v>
      </c>
      <c r="J437" s="133"/>
      <c r="K437" s="133"/>
      <c r="L437" s="133"/>
      <c r="M437" s="133"/>
      <c r="N437" s="134" t="s">
        <v>664</v>
      </c>
      <c r="O437" s="134"/>
      <c r="P437" s="134" t="s">
        <v>694</v>
      </c>
      <c r="Q437" s="134"/>
      <c r="R437" s="134"/>
      <c r="S437" s="134"/>
      <c r="T437" s="135">
        <v>1310434836</v>
      </c>
      <c r="U437" s="135"/>
      <c r="V437" s="136" t="s">
        <v>618</v>
      </c>
      <c r="W437" s="136"/>
      <c r="X437" s="129">
        <v>4500</v>
      </c>
      <c r="Y437" s="129"/>
      <c r="Z437" s="129">
        <v>4091</v>
      </c>
      <c r="AA437" s="129"/>
      <c r="AB437" s="129"/>
      <c r="AC437" s="129"/>
      <c r="AD437" s="129">
        <v>409</v>
      </c>
      <c r="AE437" s="129"/>
      <c r="AF437" s="129"/>
      <c r="AG437" s="129"/>
      <c r="AH437" s="129"/>
      <c r="AI437" s="129">
        <v>0</v>
      </c>
      <c r="AJ437" s="129"/>
      <c r="AK437" s="129"/>
    </row>
    <row r="438" spans="3:37" ht="14.85" customHeight="1" x14ac:dyDescent="0.15">
      <c r="C438" s="132">
        <v>44466</v>
      </c>
      <c r="D438" s="132"/>
      <c r="E438" s="132">
        <v>44467</v>
      </c>
      <c r="F438" s="132"/>
      <c r="G438" s="132"/>
      <c r="H438" s="132"/>
      <c r="I438" s="133" t="s">
        <v>665</v>
      </c>
      <c r="J438" s="133"/>
      <c r="K438" s="133"/>
      <c r="L438" s="133"/>
      <c r="M438" s="133"/>
      <c r="N438" s="134" t="s">
        <v>664</v>
      </c>
      <c r="O438" s="134"/>
      <c r="P438" s="134" t="s">
        <v>658</v>
      </c>
      <c r="Q438" s="134"/>
      <c r="R438" s="134"/>
      <c r="S438" s="134"/>
      <c r="T438" s="135">
        <v>1119100176</v>
      </c>
      <c r="U438" s="135"/>
      <c r="V438" s="136" t="s">
        <v>626</v>
      </c>
      <c r="W438" s="136"/>
      <c r="X438" s="129">
        <v>15700</v>
      </c>
      <c r="Y438" s="129"/>
      <c r="Z438" s="129">
        <v>15700</v>
      </c>
      <c r="AA438" s="129"/>
      <c r="AB438" s="129"/>
      <c r="AC438" s="129"/>
      <c r="AD438" s="129">
        <v>0</v>
      </c>
      <c r="AE438" s="129"/>
      <c r="AF438" s="129"/>
      <c r="AG438" s="129"/>
      <c r="AH438" s="129"/>
      <c r="AI438" s="129">
        <v>0</v>
      </c>
      <c r="AJ438" s="129"/>
      <c r="AK438" s="129"/>
    </row>
    <row r="439" spans="3:37" ht="14.85" customHeight="1" x14ac:dyDescent="0.15">
      <c r="C439" s="132">
        <v>44467</v>
      </c>
      <c r="D439" s="132"/>
      <c r="E439" s="132">
        <v>44468</v>
      </c>
      <c r="F439" s="132"/>
      <c r="G439" s="132"/>
      <c r="H439" s="132"/>
      <c r="I439" s="133" t="s">
        <v>665</v>
      </c>
      <c r="J439" s="133"/>
      <c r="K439" s="133"/>
      <c r="L439" s="133"/>
      <c r="M439" s="133"/>
      <c r="N439" s="134" t="s">
        <v>664</v>
      </c>
      <c r="O439" s="134"/>
      <c r="P439" s="134" t="s">
        <v>694</v>
      </c>
      <c r="Q439" s="134"/>
      <c r="R439" s="134"/>
      <c r="S439" s="134"/>
      <c r="T439" s="135">
        <v>1310434836</v>
      </c>
      <c r="U439" s="135"/>
      <c r="V439" s="136" t="s">
        <v>618</v>
      </c>
      <c r="W439" s="136"/>
      <c r="X439" s="129">
        <v>4500</v>
      </c>
      <c r="Y439" s="129"/>
      <c r="Z439" s="129">
        <v>4091</v>
      </c>
      <c r="AA439" s="129"/>
      <c r="AB439" s="129"/>
      <c r="AC439" s="129"/>
      <c r="AD439" s="129">
        <v>409</v>
      </c>
      <c r="AE439" s="129"/>
      <c r="AF439" s="129"/>
      <c r="AG439" s="129"/>
      <c r="AH439" s="129"/>
      <c r="AI439" s="129">
        <v>0</v>
      </c>
      <c r="AJ439" s="129"/>
      <c r="AK439" s="129"/>
    </row>
    <row r="440" spans="3:37" ht="14.85" customHeight="1" x14ac:dyDescent="0.15">
      <c r="C440" s="132">
        <v>44469</v>
      </c>
      <c r="D440" s="132"/>
      <c r="E440" s="132">
        <v>44470</v>
      </c>
      <c r="F440" s="132"/>
      <c r="G440" s="132"/>
      <c r="H440" s="132"/>
      <c r="I440" s="133" t="s">
        <v>665</v>
      </c>
      <c r="J440" s="133"/>
      <c r="K440" s="133"/>
      <c r="L440" s="133"/>
      <c r="M440" s="133"/>
      <c r="N440" s="134" t="s">
        <v>664</v>
      </c>
      <c r="O440" s="134"/>
      <c r="P440" s="134" t="s">
        <v>694</v>
      </c>
      <c r="Q440" s="134"/>
      <c r="R440" s="134"/>
      <c r="S440" s="134"/>
      <c r="T440" s="135">
        <v>1310434836</v>
      </c>
      <c r="U440" s="135"/>
      <c r="V440" s="136" t="s">
        <v>618</v>
      </c>
      <c r="W440" s="136"/>
      <c r="X440" s="129">
        <v>4500</v>
      </c>
      <c r="Y440" s="129"/>
      <c r="Z440" s="129">
        <v>4091</v>
      </c>
      <c r="AA440" s="129"/>
      <c r="AB440" s="129"/>
      <c r="AC440" s="129"/>
      <c r="AD440" s="129">
        <v>409</v>
      </c>
      <c r="AE440" s="129"/>
      <c r="AF440" s="129"/>
      <c r="AG440" s="129"/>
      <c r="AH440" s="129"/>
      <c r="AI440" s="129">
        <v>0</v>
      </c>
      <c r="AJ440" s="129"/>
      <c r="AK440" s="129"/>
    </row>
    <row r="441" spans="3:37" ht="14.85" customHeight="1" x14ac:dyDescent="0.15">
      <c r="C441" s="132">
        <v>44439</v>
      </c>
      <c r="D441" s="132"/>
      <c r="E441" s="132">
        <v>44471</v>
      </c>
      <c r="F441" s="132"/>
      <c r="G441" s="132"/>
      <c r="H441" s="132"/>
      <c r="I441" s="133" t="s">
        <v>621</v>
      </c>
      <c r="J441" s="133"/>
      <c r="K441" s="133"/>
      <c r="L441" s="133"/>
      <c r="M441" s="133"/>
      <c r="N441" s="134" t="s">
        <v>687</v>
      </c>
      <c r="O441" s="134"/>
      <c r="P441" s="134" t="s">
        <v>719</v>
      </c>
      <c r="Q441" s="134"/>
      <c r="R441" s="134"/>
      <c r="S441" s="134"/>
      <c r="T441" s="135">
        <v>1318215327</v>
      </c>
      <c r="U441" s="135"/>
      <c r="V441" s="136" t="s">
        <v>618</v>
      </c>
      <c r="W441" s="136"/>
      <c r="X441" s="129">
        <v>2200</v>
      </c>
      <c r="Y441" s="129"/>
      <c r="Z441" s="129">
        <v>2200</v>
      </c>
      <c r="AA441" s="129"/>
      <c r="AB441" s="129"/>
      <c r="AC441" s="129"/>
      <c r="AD441" s="129">
        <v>0</v>
      </c>
      <c r="AE441" s="129"/>
      <c r="AF441" s="129"/>
      <c r="AG441" s="129"/>
      <c r="AH441" s="129"/>
      <c r="AI441" s="129">
        <v>0</v>
      </c>
      <c r="AJ441" s="129"/>
      <c r="AK441" s="129"/>
    </row>
    <row r="442" spans="3:37" ht="14.85" customHeight="1" x14ac:dyDescent="0.15">
      <c r="C442" s="132">
        <v>44470</v>
      </c>
      <c r="D442" s="132"/>
      <c r="E442" s="132">
        <v>44472</v>
      </c>
      <c r="F442" s="132"/>
      <c r="G442" s="132"/>
      <c r="H442" s="132"/>
      <c r="I442" s="133" t="s">
        <v>665</v>
      </c>
      <c r="J442" s="133"/>
      <c r="K442" s="133"/>
      <c r="L442" s="133"/>
      <c r="M442" s="133"/>
      <c r="N442" s="134" t="s">
        <v>664</v>
      </c>
      <c r="O442" s="134"/>
      <c r="P442" s="134" t="s">
        <v>692</v>
      </c>
      <c r="Q442" s="134"/>
      <c r="R442" s="134"/>
      <c r="S442" s="134"/>
      <c r="T442" s="135">
        <v>5304900441</v>
      </c>
      <c r="U442" s="135"/>
      <c r="V442" s="136" t="s">
        <v>618</v>
      </c>
      <c r="W442" s="136"/>
      <c r="X442" s="129">
        <v>4500</v>
      </c>
      <c r="Y442" s="129"/>
      <c r="Z442" s="129">
        <v>4091</v>
      </c>
      <c r="AA442" s="129"/>
      <c r="AB442" s="129"/>
      <c r="AC442" s="129"/>
      <c r="AD442" s="129">
        <v>409</v>
      </c>
      <c r="AE442" s="129"/>
      <c r="AF442" s="129"/>
      <c r="AG442" s="129"/>
      <c r="AH442" s="129"/>
      <c r="AI442" s="129">
        <v>0</v>
      </c>
      <c r="AJ442" s="129"/>
      <c r="AK442" s="129"/>
    </row>
    <row r="443" spans="3:37" ht="14.85" customHeight="1" x14ac:dyDescent="0.15">
      <c r="C443" s="132">
        <v>44471</v>
      </c>
      <c r="D443" s="132"/>
      <c r="E443" s="132">
        <v>44472</v>
      </c>
      <c r="F443" s="132"/>
      <c r="G443" s="132"/>
      <c r="H443" s="132"/>
      <c r="I443" s="133" t="s">
        <v>665</v>
      </c>
      <c r="J443" s="133"/>
      <c r="K443" s="133"/>
      <c r="L443" s="133"/>
      <c r="M443" s="133"/>
      <c r="N443" s="134" t="s">
        <v>664</v>
      </c>
      <c r="O443" s="134"/>
      <c r="P443" s="134" t="s">
        <v>694</v>
      </c>
      <c r="Q443" s="134"/>
      <c r="R443" s="134"/>
      <c r="S443" s="134"/>
      <c r="T443" s="135">
        <v>1310434836</v>
      </c>
      <c r="U443" s="135"/>
      <c r="V443" s="136" t="s">
        <v>618</v>
      </c>
      <c r="W443" s="136"/>
      <c r="X443" s="129">
        <v>4500</v>
      </c>
      <c r="Y443" s="129"/>
      <c r="Z443" s="129">
        <v>4091</v>
      </c>
      <c r="AA443" s="129"/>
      <c r="AB443" s="129"/>
      <c r="AC443" s="129"/>
      <c r="AD443" s="129">
        <v>409</v>
      </c>
      <c r="AE443" s="129"/>
      <c r="AF443" s="129"/>
      <c r="AG443" s="129"/>
      <c r="AH443" s="129"/>
      <c r="AI443" s="129">
        <v>0</v>
      </c>
      <c r="AJ443" s="129"/>
      <c r="AK443" s="129"/>
    </row>
    <row r="444" spans="3:37" ht="14.85" customHeight="1" x14ac:dyDescent="0.15">
      <c r="C444" s="132">
        <v>44439</v>
      </c>
      <c r="D444" s="132"/>
      <c r="E444" s="132">
        <v>44474</v>
      </c>
      <c r="F444" s="132"/>
      <c r="G444" s="132"/>
      <c r="H444" s="132"/>
      <c r="I444" s="133" t="s">
        <v>621</v>
      </c>
      <c r="J444" s="133"/>
      <c r="K444" s="133"/>
      <c r="L444" s="133"/>
      <c r="M444" s="133"/>
      <c r="N444" s="134" t="s">
        <v>620</v>
      </c>
      <c r="O444" s="134"/>
      <c r="P444" s="134" t="s">
        <v>640</v>
      </c>
      <c r="Q444" s="134"/>
      <c r="R444" s="134"/>
      <c r="S444" s="134"/>
      <c r="T444" s="135">
        <v>2028148079</v>
      </c>
      <c r="U444" s="135"/>
      <c r="V444" s="136" t="s">
        <v>618</v>
      </c>
      <c r="W444" s="136"/>
      <c r="X444" s="129">
        <v>200</v>
      </c>
      <c r="Y444" s="129"/>
      <c r="Z444" s="129">
        <v>200</v>
      </c>
      <c r="AA444" s="129"/>
      <c r="AB444" s="129"/>
      <c r="AC444" s="129"/>
      <c r="AD444" s="129">
        <v>0</v>
      </c>
      <c r="AE444" s="129"/>
      <c r="AF444" s="129"/>
      <c r="AG444" s="129"/>
      <c r="AH444" s="129"/>
      <c r="AI444" s="129">
        <v>0</v>
      </c>
      <c r="AJ444" s="129"/>
      <c r="AK444" s="129"/>
    </row>
    <row r="445" spans="3:37" ht="14.85" customHeight="1" x14ac:dyDescent="0.15">
      <c r="C445" s="132">
        <v>44469</v>
      </c>
      <c r="D445" s="132"/>
      <c r="E445" s="132">
        <v>44474</v>
      </c>
      <c r="F445" s="132"/>
      <c r="G445" s="132"/>
      <c r="H445" s="132"/>
      <c r="I445" s="133" t="s">
        <v>665</v>
      </c>
      <c r="J445" s="133"/>
      <c r="K445" s="133"/>
      <c r="L445" s="133"/>
      <c r="M445" s="133"/>
      <c r="N445" s="134" t="s">
        <v>664</v>
      </c>
      <c r="O445" s="134"/>
      <c r="P445" s="134" t="s">
        <v>718</v>
      </c>
      <c r="Q445" s="134"/>
      <c r="R445" s="134"/>
      <c r="S445" s="134"/>
      <c r="T445" s="135">
        <v>1318215327</v>
      </c>
      <c r="U445" s="135"/>
      <c r="V445" s="136" t="s">
        <v>618</v>
      </c>
      <c r="W445" s="136"/>
      <c r="X445" s="129">
        <v>2500</v>
      </c>
      <c r="Y445" s="129"/>
      <c r="Z445" s="129">
        <v>2500</v>
      </c>
      <c r="AA445" s="129"/>
      <c r="AB445" s="129"/>
      <c r="AC445" s="129"/>
      <c r="AD445" s="129">
        <v>0</v>
      </c>
      <c r="AE445" s="129"/>
      <c r="AF445" s="129"/>
      <c r="AG445" s="129"/>
      <c r="AH445" s="129"/>
      <c r="AI445" s="129">
        <v>0</v>
      </c>
      <c r="AJ445" s="129"/>
      <c r="AK445" s="129"/>
    </row>
    <row r="446" spans="3:37" ht="14.85" customHeight="1" x14ac:dyDescent="0.15">
      <c r="C446" s="132">
        <v>44473</v>
      </c>
      <c r="D446" s="132"/>
      <c r="E446" s="132">
        <v>44475</v>
      </c>
      <c r="F446" s="132"/>
      <c r="G446" s="132"/>
      <c r="H446" s="132"/>
      <c r="I446" s="133" t="s">
        <v>665</v>
      </c>
      <c r="J446" s="133"/>
      <c r="K446" s="133"/>
      <c r="L446" s="133"/>
      <c r="M446" s="133"/>
      <c r="N446" s="134" t="s">
        <v>664</v>
      </c>
      <c r="O446" s="134"/>
      <c r="P446" s="134" t="s">
        <v>692</v>
      </c>
      <c r="Q446" s="134"/>
      <c r="R446" s="134"/>
      <c r="S446" s="134"/>
      <c r="T446" s="135">
        <v>5304900441</v>
      </c>
      <c r="U446" s="135"/>
      <c r="V446" s="136" t="s">
        <v>618</v>
      </c>
      <c r="W446" s="136"/>
      <c r="X446" s="129">
        <v>4500</v>
      </c>
      <c r="Y446" s="129"/>
      <c r="Z446" s="129">
        <v>4091</v>
      </c>
      <c r="AA446" s="129"/>
      <c r="AB446" s="129"/>
      <c r="AC446" s="129"/>
      <c r="AD446" s="129">
        <v>409</v>
      </c>
      <c r="AE446" s="129"/>
      <c r="AF446" s="129"/>
      <c r="AG446" s="129"/>
      <c r="AH446" s="129"/>
      <c r="AI446" s="129">
        <v>0</v>
      </c>
      <c r="AJ446" s="129"/>
      <c r="AK446" s="129"/>
    </row>
    <row r="447" spans="3:37" ht="14.85" customHeight="1" x14ac:dyDescent="0.15">
      <c r="C447" s="132">
        <v>44475</v>
      </c>
      <c r="D447" s="132"/>
      <c r="E447" s="132">
        <v>44476</v>
      </c>
      <c r="F447" s="132"/>
      <c r="G447" s="132"/>
      <c r="H447" s="132"/>
      <c r="I447" s="133" t="s">
        <v>621</v>
      </c>
      <c r="J447" s="133"/>
      <c r="K447" s="133"/>
      <c r="L447" s="133"/>
      <c r="M447" s="133"/>
      <c r="N447" s="134" t="s">
        <v>687</v>
      </c>
      <c r="O447" s="134"/>
      <c r="P447" s="134" t="s">
        <v>681</v>
      </c>
      <c r="Q447" s="134"/>
      <c r="R447" s="134"/>
      <c r="S447" s="134"/>
      <c r="T447" s="135">
        <v>1168119477</v>
      </c>
      <c r="U447" s="135"/>
      <c r="V447" s="136" t="s">
        <v>618</v>
      </c>
      <c r="W447" s="136"/>
      <c r="X447" s="129">
        <v>2800</v>
      </c>
      <c r="Y447" s="129"/>
      <c r="Z447" s="129">
        <v>2800</v>
      </c>
      <c r="AA447" s="129"/>
      <c r="AB447" s="129"/>
      <c r="AC447" s="129"/>
      <c r="AD447" s="129">
        <v>0</v>
      </c>
      <c r="AE447" s="129"/>
      <c r="AF447" s="129"/>
      <c r="AG447" s="129"/>
      <c r="AH447" s="129"/>
      <c r="AI447" s="129">
        <v>0</v>
      </c>
      <c r="AJ447" s="129"/>
      <c r="AK447" s="129"/>
    </row>
    <row r="448" spans="3:37" ht="14.85" customHeight="1" x14ac:dyDescent="0.15">
      <c r="C448" s="132">
        <v>44475</v>
      </c>
      <c r="D448" s="132"/>
      <c r="E448" s="132">
        <v>44476</v>
      </c>
      <c r="F448" s="132"/>
      <c r="G448" s="132"/>
      <c r="H448" s="132"/>
      <c r="I448" s="133" t="s">
        <v>665</v>
      </c>
      <c r="J448" s="133"/>
      <c r="K448" s="133"/>
      <c r="L448" s="133"/>
      <c r="M448" s="133"/>
      <c r="N448" s="134" t="s">
        <v>664</v>
      </c>
      <c r="O448" s="134"/>
      <c r="P448" s="134" t="s">
        <v>694</v>
      </c>
      <c r="Q448" s="134"/>
      <c r="R448" s="134"/>
      <c r="S448" s="134"/>
      <c r="T448" s="135">
        <v>1310434836</v>
      </c>
      <c r="U448" s="135"/>
      <c r="V448" s="136" t="s">
        <v>618</v>
      </c>
      <c r="W448" s="136"/>
      <c r="X448" s="129">
        <v>4500</v>
      </c>
      <c r="Y448" s="129"/>
      <c r="Z448" s="129">
        <v>4091</v>
      </c>
      <c r="AA448" s="129"/>
      <c r="AB448" s="129"/>
      <c r="AC448" s="129"/>
      <c r="AD448" s="129">
        <v>409</v>
      </c>
      <c r="AE448" s="129"/>
      <c r="AF448" s="129"/>
      <c r="AG448" s="129"/>
      <c r="AH448" s="129"/>
      <c r="AI448" s="129">
        <v>0</v>
      </c>
      <c r="AJ448" s="129"/>
      <c r="AK448" s="129"/>
    </row>
    <row r="449" spans="3:37" ht="14.85" customHeight="1" x14ac:dyDescent="0.15">
      <c r="C449" s="132">
        <v>44475</v>
      </c>
      <c r="D449" s="132"/>
      <c r="E449" s="132">
        <v>44476</v>
      </c>
      <c r="F449" s="132"/>
      <c r="G449" s="132"/>
      <c r="H449" s="132"/>
      <c r="I449" s="133" t="s">
        <v>665</v>
      </c>
      <c r="J449" s="133"/>
      <c r="K449" s="133"/>
      <c r="L449" s="133"/>
      <c r="M449" s="133"/>
      <c r="N449" s="134" t="s">
        <v>664</v>
      </c>
      <c r="O449" s="134"/>
      <c r="P449" s="134" t="s">
        <v>699</v>
      </c>
      <c r="Q449" s="134"/>
      <c r="R449" s="134"/>
      <c r="S449" s="134"/>
      <c r="T449" s="135">
        <v>3021040377</v>
      </c>
      <c r="U449" s="135"/>
      <c r="V449" s="136" t="s">
        <v>622</v>
      </c>
      <c r="W449" s="136"/>
      <c r="X449" s="129">
        <v>4500</v>
      </c>
      <c r="Y449" s="129"/>
      <c r="Z449" s="129">
        <v>4091</v>
      </c>
      <c r="AA449" s="129"/>
      <c r="AB449" s="129"/>
      <c r="AC449" s="129"/>
      <c r="AD449" s="129">
        <v>409</v>
      </c>
      <c r="AE449" s="129"/>
      <c r="AF449" s="129"/>
      <c r="AG449" s="129"/>
      <c r="AH449" s="129"/>
      <c r="AI449" s="129">
        <v>0</v>
      </c>
      <c r="AJ449" s="129"/>
      <c r="AK449" s="129"/>
    </row>
    <row r="450" spans="3:37" ht="14.85" customHeight="1" x14ac:dyDescent="0.15">
      <c r="C450" s="132">
        <v>44476</v>
      </c>
      <c r="D450" s="132"/>
      <c r="E450" s="132">
        <v>44478</v>
      </c>
      <c r="F450" s="132"/>
      <c r="G450" s="132"/>
      <c r="H450" s="132"/>
      <c r="I450" s="133" t="s">
        <v>621</v>
      </c>
      <c r="J450" s="133"/>
      <c r="K450" s="133"/>
      <c r="L450" s="133"/>
      <c r="M450" s="133"/>
      <c r="N450" s="134" t="s">
        <v>687</v>
      </c>
      <c r="O450" s="134"/>
      <c r="P450" s="134" t="s">
        <v>670</v>
      </c>
      <c r="Q450" s="134"/>
      <c r="R450" s="134"/>
      <c r="S450" s="134"/>
      <c r="T450" s="135">
        <v>1058177410</v>
      </c>
      <c r="U450" s="135"/>
      <c r="V450" s="136" t="s">
        <v>622</v>
      </c>
      <c r="W450" s="136"/>
      <c r="X450" s="129">
        <v>800</v>
      </c>
      <c r="Y450" s="129"/>
      <c r="Z450" s="129">
        <v>800</v>
      </c>
      <c r="AA450" s="129"/>
      <c r="AB450" s="129"/>
      <c r="AC450" s="129"/>
      <c r="AD450" s="129">
        <v>0</v>
      </c>
      <c r="AE450" s="129"/>
      <c r="AF450" s="129"/>
      <c r="AG450" s="129"/>
      <c r="AH450" s="129"/>
      <c r="AI450" s="129">
        <v>0</v>
      </c>
      <c r="AJ450" s="129"/>
      <c r="AK450" s="129"/>
    </row>
    <row r="451" spans="3:37" ht="14.85" customHeight="1" x14ac:dyDescent="0.15">
      <c r="C451" s="132">
        <v>44476</v>
      </c>
      <c r="D451" s="132"/>
      <c r="E451" s="132">
        <v>44478</v>
      </c>
      <c r="F451" s="132"/>
      <c r="G451" s="132"/>
      <c r="H451" s="132"/>
      <c r="I451" s="133" t="s">
        <v>621</v>
      </c>
      <c r="J451" s="133"/>
      <c r="K451" s="133"/>
      <c r="L451" s="133"/>
      <c r="M451" s="133"/>
      <c r="N451" s="134" t="s">
        <v>687</v>
      </c>
      <c r="O451" s="134"/>
      <c r="P451" s="134" t="s">
        <v>670</v>
      </c>
      <c r="Q451" s="134"/>
      <c r="R451" s="134"/>
      <c r="S451" s="134"/>
      <c r="T451" s="135">
        <v>1058177410</v>
      </c>
      <c r="U451" s="135"/>
      <c r="V451" s="136" t="s">
        <v>622</v>
      </c>
      <c r="W451" s="136"/>
      <c r="X451" s="129">
        <v>800</v>
      </c>
      <c r="Y451" s="129"/>
      <c r="Z451" s="129">
        <v>800</v>
      </c>
      <c r="AA451" s="129"/>
      <c r="AB451" s="129"/>
      <c r="AC451" s="129"/>
      <c r="AD451" s="129">
        <v>0</v>
      </c>
      <c r="AE451" s="129"/>
      <c r="AF451" s="129"/>
      <c r="AG451" s="129"/>
      <c r="AH451" s="129"/>
      <c r="AI451" s="129">
        <v>0</v>
      </c>
      <c r="AJ451" s="129"/>
      <c r="AK451" s="129"/>
    </row>
    <row r="452" spans="3:37" ht="14.85" customHeight="1" x14ac:dyDescent="0.15">
      <c r="C452" s="132">
        <v>44476</v>
      </c>
      <c r="D452" s="132"/>
      <c r="E452" s="132">
        <v>44477</v>
      </c>
      <c r="F452" s="132"/>
      <c r="G452" s="132"/>
      <c r="H452" s="132"/>
      <c r="I452" s="133" t="s">
        <v>665</v>
      </c>
      <c r="J452" s="133"/>
      <c r="K452" s="133"/>
      <c r="L452" s="133"/>
      <c r="M452" s="133"/>
      <c r="N452" s="134" t="s">
        <v>664</v>
      </c>
      <c r="O452" s="134"/>
      <c r="P452" s="134" t="s">
        <v>717</v>
      </c>
      <c r="Q452" s="134"/>
      <c r="R452" s="134"/>
      <c r="S452" s="134"/>
      <c r="T452" s="135">
        <v>1048183559</v>
      </c>
      <c r="U452" s="135"/>
      <c r="V452" s="136" t="s">
        <v>618</v>
      </c>
      <c r="W452" s="136"/>
      <c r="X452" s="129">
        <v>6800</v>
      </c>
      <c r="Y452" s="129"/>
      <c r="Z452" s="129">
        <v>6800</v>
      </c>
      <c r="AA452" s="129"/>
      <c r="AB452" s="129"/>
      <c r="AC452" s="129"/>
      <c r="AD452" s="129">
        <v>0</v>
      </c>
      <c r="AE452" s="129"/>
      <c r="AF452" s="129"/>
      <c r="AG452" s="129"/>
      <c r="AH452" s="129"/>
      <c r="AI452" s="129">
        <v>0</v>
      </c>
      <c r="AJ452" s="129"/>
      <c r="AK452" s="129"/>
    </row>
    <row r="453" spans="3:37" ht="14.85" customHeight="1" x14ac:dyDescent="0.15">
      <c r="C453" s="132">
        <v>44476</v>
      </c>
      <c r="D453" s="132"/>
      <c r="E453" s="132">
        <v>44477</v>
      </c>
      <c r="F453" s="132"/>
      <c r="G453" s="132"/>
      <c r="H453" s="132"/>
      <c r="I453" s="133" t="s">
        <v>621</v>
      </c>
      <c r="J453" s="133"/>
      <c r="K453" s="133"/>
      <c r="L453" s="133"/>
      <c r="M453" s="133"/>
      <c r="N453" s="134" t="s">
        <v>687</v>
      </c>
      <c r="O453" s="134"/>
      <c r="P453" s="134" t="s">
        <v>716</v>
      </c>
      <c r="Q453" s="134"/>
      <c r="R453" s="134"/>
      <c r="S453" s="134"/>
      <c r="T453" s="135">
        <v>1048183559</v>
      </c>
      <c r="U453" s="135"/>
      <c r="V453" s="136" t="s">
        <v>618</v>
      </c>
      <c r="W453" s="136"/>
      <c r="X453" s="129">
        <v>6800</v>
      </c>
      <c r="Y453" s="129"/>
      <c r="Z453" s="129">
        <v>6800</v>
      </c>
      <c r="AA453" s="129"/>
      <c r="AB453" s="129"/>
      <c r="AC453" s="129"/>
      <c r="AD453" s="129">
        <v>0</v>
      </c>
      <c r="AE453" s="129"/>
      <c r="AF453" s="129"/>
      <c r="AG453" s="129"/>
      <c r="AH453" s="129"/>
      <c r="AI453" s="129">
        <v>0</v>
      </c>
      <c r="AJ453" s="129"/>
      <c r="AK453" s="129"/>
    </row>
    <row r="454" spans="3:37" ht="14.85" customHeight="1" x14ac:dyDescent="0.15">
      <c r="C454" s="132">
        <v>44476</v>
      </c>
      <c r="D454" s="132"/>
      <c r="E454" s="132">
        <v>44478</v>
      </c>
      <c r="F454" s="132"/>
      <c r="G454" s="132"/>
      <c r="H454" s="132"/>
      <c r="I454" s="133" t="s">
        <v>621</v>
      </c>
      <c r="J454" s="133"/>
      <c r="K454" s="133"/>
      <c r="L454" s="133"/>
      <c r="M454" s="133"/>
      <c r="N454" s="134" t="s">
        <v>687</v>
      </c>
      <c r="O454" s="134"/>
      <c r="P454" s="134" t="s">
        <v>692</v>
      </c>
      <c r="Q454" s="134"/>
      <c r="R454" s="134"/>
      <c r="S454" s="134"/>
      <c r="T454" s="135">
        <v>5304900441</v>
      </c>
      <c r="U454" s="135"/>
      <c r="V454" s="136" t="s">
        <v>618</v>
      </c>
      <c r="W454" s="136"/>
      <c r="X454" s="129">
        <v>4500</v>
      </c>
      <c r="Y454" s="129"/>
      <c r="Z454" s="129">
        <v>4091</v>
      </c>
      <c r="AA454" s="129"/>
      <c r="AB454" s="129"/>
      <c r="AC454" s="129"/>
      <c r="AD454" s="129">
        <v>409</v>
      </c>
      <c r="AE454" s="129"/>
      <c r="AF454" s="129"/>
      <c r="AG454" s="129"/>
      <c r="AH454" s="129"/>
      <c r="AI454" s="129">
        <v>0</v>
      </c>
      <c r="AJ454" s="129"/>
      <c r="AK454" s="129"/>
    </row>
    <row r="455" spans="3:37" ht="14.85" customHeight="1" x14ac:dyDescent="0.15">
      <c r="C455" s="132">
        <v>44477</v>
      </c>
      <c r="D455" s="132"/>
      <c r="E455" s="132">
        <v>44478</v>
      </c>
      <c r="F455" s="132"/>
      <c r="G455" s="132"/>
      <c r="H455" s="132"/>
      <c r="I455" s="133" t="s">
        <v>665</v>
      </c>
      <c r="J455" s="133"/>
      <c r="K455" s="133"/>
      <c r="L455" s="133"/>
      <c r="M455" s="133"/>
      <c r="N455" s="134" t="s">
        <v>664</v>
      </c>
      <c r="O455" s="134"/>
      <c r="P455" s="134" t="s">
        <v>694</v>
      </c>
      <c r="Q455" s="134"/>
      <c r="R455" s="134"/>
      <c r="S455" s="134"/>
      <c r="T455" s="135">
        <v>1310434836</v>
      </c>
      <c r="U455" s="135"/>
      <c r="V455" s="136" t="s">
        <v>618</v>
      </c>
      <c r="W455" s="136"/>
      <c r="X455" s="129">
        <v>4500</v>
      </c>
      <c r="Y455" s="129"/>
      <c r="Z455" s="129">
        <v>4091</v>
      </c>
      <c r="AA455" s="129"/>
      <c r="AB455" s="129"/>
      <c r="AC455" s="129"/>
      <c r="AD455" s="129">
        <v>409</v>
      </c>
      <c r="AE455" s="129"/>
      <c r="AF455" s="129"/>
      <c r="AG455" s="129"/>
      <c r="AH455" s="129"/>
      <c r="AI455" s="129">
        <v>0</v>
      </c>
      <c r="AJ455" s="129"/>
      <c r="AK455" s="129"/>
    </row>
    <row r="456" spans="3:37" ht="14.85" customHeight="1" x14ac:dyDescent="0.15">
      <c r="C456" s="132">
        <v>44479</v>
      </c>
      <c r="D456" s="132"/>
      <c r="E456" s="132">
        <v>44480</v>
      </c>
      <c r="F456" s="132"/>
      <c r="G456" s="132"/>
      <c r="H456" s="132"/>
      <c r="I456" s="133" t="s">
        <v>665</v>
      </c>
      <c r="J456" s="133"/>
      <c r="K456" s="133"/>
      <c r="L456" s="133"/>
      <c r="M456" s="133"/>
      <c r="N456" s="134" t="s">
        <v>664</v>
      </c>
      <c r="O456" s="134"/>
      <c r="P456" s="134" t="s">
        <v>694</v>
      </c>
      <c r="Q456" s="134"/>
      <c r="R456" s="134"/>
      <c r="S456" s="134"/>
      <c r="T456" s="135">
        <v>1310434836</v>
      </c>
      <c r="U456" s="135"/>
      <c r="V456" s="136" t="s">
        <v>618</v>
      </c>
      <c r="W456" s="136"/>
      <c r="X456" s="129">
        <v>4500</v>
      </c>
      <c r="Y456" s="129"/>
      <c r="Z456" s="129">
        <v>4091</v>
      </c>
      <c r="AA456" s="129"/>
      <c r="AB456" s="129"/>
      <c r="AC456" s="129"/>
      <c r="AD456" s="129">
        <v>409</v>
      </c>
      <c r="AE456" s="129"/>
      <c r="AF456" s="129"/>
      <c r="AG456" s="129"/>
      <c r="AH456" s="129"/>
      <c r="AI456" s="129">
        <v>0</v>
      </c>
      <c r="AJ456" s="129"/>
      <c r="AK456" s="129"/>
    </row>
    <row r="457" spans="3:37" ht="14.85" customHeight="1" x14ac:dyDescent="0.15">
      <c r="C457" s="132">
        <v>44482</v>
      </c>
      <c r="D457" s="132"/>
      <c r="E457" s="132">
        <v>44483</v>
      </c>
      <c r="F457" s="132"/>
      <c r="G457" s="132"/>
      <c r="H457" s="132"/>
      <c r="I457" s="133" t="s">
        <v>621</v>
      </c>
      <c r="J457" s="133"/>
      <c r="K457" s="133"/>
      <c r="L457" s="133"/>
      <c r="M457" s="133"/>
      <c r="N457" s="134" t="s">
        <v>687</v>
      </c>
      <c r="O457" s="134"/>
      <c r="P457" s="134" t="s">
        <v>627</v>
      </c>
      <c r="Q457" s="134"/>
      <c r="R457" s="134"/>
      <c r="S457" s="134"/>
      <c r="T457" s="135">
        <v>2329300384</v>
      </c>
      <c r="U457" s="135"/>
      <c r="V457" s="136" t="s">
        <v>626</v>
      </c>
      <c r="W457" s="136"/>
      <c r="X457" s="129">
        <v>15100</v>
      </c>
      <c r="Y457" s="129"/>
      <c r="Z457" s="129">
        <v>15100</v>
      </c>
      <c r="AA457" s="129"/>
      <c r="AB457" s="129"/>
      <c r="AC457" s="129"/>
      <c r="AD457" s="129">
        <v>0</v>
      </c>
      <c r="AE457" s="129"/>
      <c r="AF457" s="129"/>
      <c r="AG457" s="129"/>
      <c r="AH457" s="129"/>
      <c r="AI457" s="129">
        <v>0</v>
      </c>
      <c r="AJ457" s="129"/>
      <c r="AK457" s="129"/>
    </row>
    <row r="458" spans="3:37" ht="14.85" customHeight="1" x14ac:dyDescent="0.15">
      <c r="C458" s="132">
        <v>44482</v>
      </c>
      <c r="D458" s="132"/>
      <c r="E458" s="132">
        <v>44483</v>
      </c>
      <c r="F458" s="132"/>
      <c r="G458" s="132"/>
      <c r="H458" s="132"/>
      <c r="I458" s="133" t="s">
        <v>621</v>
      </c>
      <c r="J458" s="133"/>
      <c r="K458" s="133"/>
      <c r="L458" s="133"/>
      <c r="M458" s="133"/>
      <c r="N458" s="134" t="s">
        <v>687</v>
      </c>
      <c r="O458" s="134"/>
      <c r="P458" s="134" t="s">
        <v>694</v>
      </c>
      <c r="Q458" s="134"/>
      <c r="R458" s="134"/>
      <c r="S458" s="134"/>
      <c r="T458" s="135">
        <v>1310434836</v>
      </c>
      <c r="U458" s="135"/>
      <c r="V458" s="136" t="s">
        <v>618</v>
      </c>
      <c r="W458" s="136"/>
      <c r="X458" s="129">
        <v>4500</v>
      </c>
      <c r="Y458" s="129"/>
      <c r="Z458" s="129">
        <v>4091</v>
      </c>
      <c r="AA458" s="129"/>
      <c r="AB458" s="129"/>
      <c r="AC458" s="129"/>
      <c r="AD458" s="129">
        <v>409</v>
      </c>
      <c r="AE458" s="129"/>
      <c r="AF458" s="129"/>
      <c r="AG458" s="129"/>
      <c r="AH458" s="129"/>
      <c r="AI458" s="129">
        <v>0</v>
      </c>
      <c r="AJ458" s="129"/>
      <c r="AK458" s="129"/>
    </row>
    <row r="459" spans="3:37" ht="14.85" customHeight="1" x14ac:dyDescent="0.15">
      <c r="C459" s="132">
        <v>44482</v>
      </c>
      <c r="D459" s="132"/>
      <c r="E459" s="132">
        <v>44483</v>
      </c>
      <c r="F459" s="132"/>
      <c r="G459" s="132"/>
      <c r="H459" s="132"/>
      <c r="I459" s="133" t="s">
        <v>621</v>
      </c>
      <c r="J459" s="133"/>
      <c r="K459" s="133"/>
      <c r="L459" s="133"/>
      <c r="M459" s="133"/>
      <c r="N459" s="134" t="s">
        <v>630</v>
      </c>
      <c r="O459" s="134"/>
      <c r="P459" s="134" t="s">
        <v>691</v>
      </c>
      <c r="Q459" s="134"/>
      <c r="R459" s="134"/>
      <c r="S459" s="134"/>
      <c r="T459" s="135">
        <v>1208200052</v>
      </c>
      <c r="U459" s="135"/>
      <c r="V459" s="136" t="s">
        <v>618</v>
      </c>
      <c r="W459" s="136"/>
      <c r="X459" s="129">
        <v>111380</v>
      </c>
      <c r="Y459" s="129"/>
      <c r="Z459" s="129">
        <v>111380</v>
      </c>
      <c r="AA459" s="129"/>
      <c r="AB459" s="129"/>
      <c r="AC459" s="129"/>
      <c r="AD459" s="129">
        <v>0</v>
      </c>
      <c r="AE459" s="129"/>
      <c r="AF459" s="129"/>
      <c r="AG459" s="129"/>
      <c r="AH459" s="129"/>
      <c r="AI459" s="129">
        <v>0</v>
      </c>
      <c r="AJ459" s="129"/>
      <c r="AK459" s="129"/>
    </row>
    <row r="460" spans="3:37" ht="14.85" customHeight="1" x14ac:dyDescent="0.15">
      <c r="C460" s="132">
        <v>44482</v>
      </c>
      <c r="D460" s="132"/>
      <c r="E460" s="132">
        <v>44483</v>
      </c>
      <c r="F460" s="132"/>
      <c r="G460" s="132"/>
      <c r="H460" s="132"/>
      <c r="I460" s="133" t="s">
        <v>621</v>
      </c>
      <c r="J460" s="133"/>
      <c r="K460" s="133"/>
      <c r="L460" s="133"/>
      <c r="M460" s="133"/>
      <c r="N460" s="134" t="s">
        <v>687</v>
      </c>
      <c r="O460" s="134"/>
      <c r="P460" s="134" t="s">
        <v>631</v>
      </c>
      <c r="Q460" s="134"/>
      <c r="R460" s="134"/>
      <c r="S460" s="134"/>
      <c r="T460" s="135">
        <v>1168119948</v>
      </c>
      <c r="U460" s="135"/>
      <c r="V460" s="136" t="s">
        <v>618</v>
      </c>
      <c r="W460" s="136"/>
      <c r="X460" s="129">
        <v>42400</v>
      </c>
      <c r="Y460" s="129"/>
      <c r="Z460" s="129">
        <v>38545</v>
      </c>
      <c r="AA460" s="129"/>
      <c r="AB460" s="129"/>
      <c r="AC460" s="129"/>
      <c r="AD460" s="129">
        <v>3855</v>
      </c>
      <c r="AE460" s="129"/>
      <c r="AF460" s="129"/>
      <c r="AG460" s="129"/>
      <c r="AH460" s="129"/>
      <c r="AI460" s="129">
        <v>0</v>
      </c>
      <c r="AJ460" s="129"/>
      <c r="AK460" s="129"/>
    </row>
    <row r="461" spans="3:37" ht="14.85" customHeight="1" x14ac:dyDescent="0.15">
      <c r="C461" s="132">
        <v>44483</v>
      </c>
      <c r="D461" s="132"/>
      <c r="E461" s="132">
        <v>44484</v>
      </c>
      <c r="F461" s="132"/>
      <c r="G461" s="132"/>
      <c r="H461" s="132"/>
      <c r="I461" s="133" t="s">
        <v>621</v>
      </c>
      <c r="J461" s="133"/>
      <c r="K461" s="133"/>
      <c r="L461" s="133"/>
      <c r="M461" s="133"/>
      <c r="N461" s="134" t="s">
        <v>687</v>
      </c>
      <c r="O461" s="134"/>
      <c r="P461" s="134" t="s">
        <v>627</v>
      </c>
      <c r="Q461" s="134"/>
      <c r="R461" s="134"/>
      <c r="S461" s="134"/>
      <c r="T461" s="135">
        <v>2329300384</v>
      </c>
      <c r="U461" s="135"/>
      <c r="V461" s="136" t="s">
        <v>626</v>
      </c>
      <c r="W461" s="136"/>
      <c r="X461" s="129">
        <v>4100</v>
      </c>
      <c r="Y461" s="129"/>
      <c r="Z461" s="129">
        <v>4100</v>
      </c>
      <c r="AA461" s="129"/>
      <c r="AB461" s="129"/>
      <c r="AC461" s="129"/>
      <c r="AD461" s="129">
        <v>0</v>
      </c>
      <c r="AE461" s="129"/>
      <c r="AF461" s="129"/>
      <c r="AG461" s="129"/>
      <c r="AH461" s="129"/>
      <c r="AI461" s="129">
        <v>0</v>
      </c>
      <c r="AJ461" s="129"/>
      <c r="AK461" s="129"/>
    </row>
    <row r="462" spans="3:37" ht="29.65" customHeight="1" x14ac:dyDescent="0.15">
      <c r="V462" s="137" t="s">
        <v>617</v>
      </c>
      <c r="W462" s="137"/>
    </row>
    <row r="463" spans="3:37" ht="14.85" customHeight="1" x14ac:dyDescent="0.15">
      <c r="C463" s="132">
        <v>44483</v>
      </c>
      <c r="D463" s="132"/>
      <c r="E463" s="132">
        <v>44484</v>
      </c>
      <c r="F463" s="132"/>
      <c r="G463" s="132"/>
      <c r="H463" s="132"/>
      <c r="I463" s="133" t="s">
        <v>621</v>
      </c>
      <c r="J463" s="133"/>
      <c r="K463" s="133"/>
      <c r="L463" s="133"/>
      <c r="M463" s="133"/>
      <c r="N463" s="134" t="s">
        <v>687</v>
      </c>
      <c r="O463" s="134"/>
      <c r="P463" s="134" t="s">
        <v>625</v>
      </c>
      <c r="Q463" s="134"/>
      <c r="R463" s="134"/>
      <c r="S463" s="134"/>
      <c r="T463" s="135">
        <v>6073354644</v>
      </c>
      <c r="U463" s="135"/>
      <c r="V463" s="136" t="s">
        <v>618</v>
      </c>
      <c r="W463" s="136"/>
      <c r="X463" s="129">
        <v>31500</v>
      </c>
      <c r="Y463" s="129"/>
      <c r="Z463" s="129">
        <v>31500</v>
      </c>
      <c r="AA463" s="129"/>
      <c r="AB463" s="129"/>
      <c r="AC463" s="129"/>
      <c r="AD463" s="129">
        <v>0</v>
      </c>
      <c r="AE463" s="129"/>
      <c r="AF463" s="129"/>
      <c r="AG463" s="129"/>
      <c r="AH463" s="129"/>
      <c r="AI463" s="129">
        <v>0</v>
      </c>
      <c r="AJ463" s="129"/>
      <c r="AK463" s="129"/>
    </row>
    <row r="464" spans="3:37" ht="14.85" customHeight="1" x14ac:dyDescent="0.15">
      <c r="C464" s="132">
        <v>44483</v>
      </c>
      <c r="D464" s="132"/>
      <c r="E464" s="132">
        <v>44484</v>
      </c>
      <c r="F464" s="132"/>
      <c r="G464" s="132"/>
      <c r="H464" s="132"/>
      <c r="I464" s="133" t="s">
        <v>621</v>
      </c>
      <c r="J464" s="133"/>
      <c r="K464" s="133"/>
      <c r="L464" s="133"/>
      <c r="M464" s="133"/>
      <c r="N464" s="134" t="s">
        <v>687</v>
      </c>
      <c r="O464" s="134"/>
      <c r="P464" s="134" t="s">
        <v>673</v>
      </c>
      <c r="Q464" s="134"/>
      <c r="R464" s="134"/>
      <c r="S464" s="134"/>
      <c r="T464" s="135">
        <v>1318553360</v>
      </c>
      <c r="U464" s="135"/>
      <c r="V464" s="136" t="s">
        <v>618</v>
      </c>
      <c r="W464" s="136"/>
      <c r="X464" s="129">
        <v>10770</v>
      </c>
      <c r="Y464" s="129"/>
      <c r="Z464" s="129">
        <v>10770</v>
      </c>
      <c r="AA464" s="129"/>
      <c r="AB464" s="129"/>
      <c r="AC464" s="129"/>
      <c r="AD464" s="129">
        <v>0</v>
      </c>
      <c r="AE464" s="129"/>
      <c r="AF464" s="129"/>
      <c r="AG464" s="129"/>
      <c r="AH464" s="129"/>
      <c r="AI464" s="129">
        <v>0</v>
      </c>
      <c r="AJ464" s="129"/>
      <c r="AK464" s="129"/>
    </row>
    <row r="465" spans="3:37" ht="14.85" customHeight="1" x14ac:dyDescent="0.15">
      <c r="C465" s="132">
        <v>44483</v>
      </c>
      <c r="D465" s="132"/>
      <c r="E465" s="132">
        <v>44484</v>
      </c>
      <c r="F465" s="132"/>
      <c r="G465" s="132"/>
      <c r="H465" s="132"/>
      <c r="I465" s="133" t="s">
        <v>621</v>
      </c>
      <c r="J465" s="133"/>
      <c r="K465" s="133"/>
      <c r="L465" s="133"/>
      <c r="M465" s="133"/>
      <c r="N465" s="134" t="s">
        <v>687</v>
      </c>
      <c r="O465" s="134"/>
      <c r="P465" s="134" t="s">
        <v>694</v>
      </c>
      <c r="Q465" s="134"/>
      <c r="R465" s="134"/>
      <c r="S465" s="134"/>
      <c r="T465" s="135">
        <v>1310434836</v>
      </c>
      <c r="U465" s="135"/>
      <c r="V465" s="136" t="s">
        <v>618</v>
      </c>
      <c r="W465" s="136"/>
      <c r="X465" s="129">
        <v>4500</v>
      </c>
      <c r="Y465" s="129"/>
      <c r="Z465" s="129">
        <v>4091</v>
      </c>
      <c r="AA465" s="129"/>
      <c r="AB465" s="129"/>
      <c r="AC465" s="129"/>
      <c r="AD465" s="129">
        <v>409</v>
      </c>
      <c r="AE465" s="129"/>
      <c r="AF465" s="129"/>
      <c r="AG465" s="129"/>
      <c r="AH465" s="129"/>
      <c r="AI465" s="129">
        <v>0</v>
      </c>
      <c r="AJ465" s="129"/>
      <c r="AK465" s="129"/>
    </row>
    <row r="466" spans="3:37" ht="14.85" customHeight="1" x14ac:dyDescent="0.15">
      <c r="C466" s="132">
        <v>44484</v>
      </c>
      <c r="D466" s="132"/>
      <c r="E466" s="132">
        <v>44484</v>
      </c>
      <c r="F466" s="132"/>
      <c r="G466" s="132"/>
      <c r="H466" s="132"/>
      <c r="I466" s="133" t="s">
        <v>621</v>
      </c>
      <c r="J466" s="133"/>
      <c r="K466" s="133"/>
      <c r="L466" s="133"/>
      <c r="M466" s="133"/>
      <c r="N466" s="134" t="s">
        <v>687</v>
      </c>
      <c r="O466" s="134"/>
      <c r="P466" s="134" t="s">
        <v>715</v>
      </c>
      <c r="Q466" s="134"/>
      <c r="R466" s="134"/>
      <c r="S466" s="134"/>
      <c r="T466" s="135">
        <v>1208200052</v>
      </c>
      <c r="U466" s="135"/>
      <c r="V466" s="136" t="s">
        <v>618</v>
      </c>
      <c r="W466" s="136"/>
      <c r="X466" s="129">
        <v>54810</v>
      </c>
      <c r="Y466" s="129"/>
      <c r="Z466" s="129">
        <v>54810</v>
      </c>
      <c r="AA466" s="129"/>
      <c r="AB466" s="129"/>
      <c r="AC466" s="129"/>
      <c r="AD466" s="129">
        <v>0</v>
      </c>
      <c r="AE466" s="129"/>
      <c r="AF466" s="129"/>
      <c r="AG466" s="129"/>
      <c r="AH466" s="129"/>
      <c r="AI466" s="129">
        <v>0</v>
      </c>
      <c r="AJ466" s="129"/>
      <c r="AK466" s="129"/>
    </row>
    <row r="467" spans="3:37" ht="14.85" customHeight="1" x14ac:dyDescent="0.15">
      <c r="C467" s="132">
        <v>44485</v>
      </c>
      <c r="D467" s="132"/>
      <c r="E467" s="132">
        <v>44486</v>
      </c>
      <c r="F467" s="132"/>
      <c r="G467" s="132"/>
      <c r="H467" s="132"/>
      <c r="I467" s="133" t="s">
        <v>621</v>
      </c>
      <c r="J467" s="133"/>
      <c r="K467" s="133"/>
      <c r="L467" s="133"/>
      <c r="M467" s="133"/>
      <c r="N467" s="134" t="s">
        <v>687</v>
      </c>
      <c r="O467" s="134"/>
      <c r="P467" s="134" t="s">
        <v>694</v>
      </c>
      <c r="Q467" s="134"/>
      <c r="R467" s="134"/>
      <c r="S467" s="134"/>
      <c r="T467" s="135">
        <v>1310434836</v>
      </c>
      <c r="U467" s="135"/>
      <c r="V467" s="136" t="s">
        <v>618</v>
      </c>
      <c r="W467" s="136"/>
      <c r="X467" s="129">
        <v>4500</v>
      </c>
      <c r="Y467" s="129"/>
      <c r="Z467" s="129">
        <v>4091</v>
      </c>
      <c r="AA467" s="129"/>
      <c r="AB467" s="129"/>
      <c r="AC467" s="129"/>
      <c r="AD467" s="129">
        <v>409</v>
      </c>
      <c r="AE467" s="129"/>
      <c r="AF467" s="129"/>
      <c r="AG467" s="129"/>
      <c r="AH467" s="129"/>
      <c r="AI467" s="129">
        <v>0</v>
      </c>
      <c r="AJ467" s="129"/>
      <c r="AK467" s="129"/>
    </row>
    <row r="468" spans="3:37" ht="14.85" customHeight="1" x14ac:dyDescent="0.15">
      <c r="C468" s="132">
        <v>44482</v>
      </c>
      <c r="D468" s="132"/>
      <c r="E468" s="132">
        <v>44488</v>
      </c>
      <c r="F468" s="132"/>
      <c r="G468" s="132"/>
      <c r="H468" s="132"/>
      <c r="I468" s="133" t="s">
        <v>621</v>
      </c>
      <c r="J468" s="133"/>
      <c r="K468" s="133"/>
      <c r="L468" s="133"/>
      <c r="M468" s="133"/>
      <c r="N468" s="134" t="s">
        <v>687</v>
      </c>
      <c r="O468" s="134"/>
      <c r="P468" s="134" t="s">
        <v>666</v>
      </c>
      <c r="Q468" s="134"/>
      <c r="R468" s="134"/>
      <c r="S468" s="134"/>
      <c r="T468" s="135">
        <v>2208139938</v>
      </c>
      <c r="U468" s="135"/>
      <c r="V468" s="136" t="s">
        <v>618</v>
      </c>
      <c r="W468" s="136"/>
      <c r="X468" s="129">
        <v>43050</v>
      </c>
      <c r="Y468" s="129"/>
      <c r="Z468" s="129">
        <v>43050</v>
      </c>
      <c r="AA468" s="129"/>
      <c r="AB468" s="129"/>
      <c r="AC468" s="129"/>
      <c r="AD468" s="129">
        <v>0</v>
      </c>
      <c r="AE468" s="129"/>
      <c r="AF468" s="129"/>
      <c r="AG468" s="129"/>
      <c r="AH468" s="129"/>
      <c r="AI468" s="129">
        <v>0</v>
      </c>
      <c r="AJ468" s="129"/>
      <c r="AK468" s="129"/>
    </row>
    <row r="469" spans="3:37" ht="14.85" customHeight="1" x14ac:dyDescent="0.15">
      <c r="C469" s="132">
        <v>44482</v>
      </c>
      <c r="D469" s="132"/>
      <c r="E469" s="132">
        <v>44488</v>
      </c>
      <c r="F469" s="132"/>
      <c r="G469" s="132"/>
      <c r="H469" s="132"/>
      <c r="I469" s="133" t="s">
        <v>621</v>
      </c>
      <c r="J469" s="133"/>
      <c r="K469" s="133"/>
      <c r="L469" s="133"/>
      <c r="M469" s="133"/>
      <c r="N469" s="134" t="s">
        <v>687</v>
      </c>
      <c r="O469" s="134"/>
      <c r="P469" s="134" t="s">
        <v>636</v>
      </c>
      <c r="Q469" s="134"/>
      <c r="R469" s="134"/>
      <c r="S469" s="134"/>
      <c r="T469" s="135">
        <v>2208139938</v>
      </c>
      <c r="U469" s="135"/>
      <c r="V469" s="136" t="s">
        <v>618</v>
      </c>
      <c r="W469" s="136"/>
      <c r="X469" s="129">
        <v>8760</v>
      </c>
      <c r="Y469" s="129"/>
      <c r="Z469" s="129">
        <v>8760</v>
      </c>
      <c r="AA469" s="129"/>
      <c r="AB469" s="129"/>
      <c r="AC469" s="129"/>
      <c r="AD469" s="129">
        <v>0</v>
      </c>
      <c r="AE469" s="129"/>
      <c r="AF469" s="129"/>
      <c r="AG469" s="129"/>
      <c r="AH469" s="129"/>
      <c r="AI469" s="129">
        <v>0</v>
      </c>
      <c r="AJ469" s="129"/>
      <c r="AK469" s="129"/>
    </row>
    <row r="470" spans="3:37" ht="14.85" customHeight="1" x14ac:dyDescent="0.15">
      <c r="C470" s="132">
        <v>44487</v>
      </c>
      <c r="D470" s="132"/>
      <c r="E470" s="132">
        <v>44488</v>
      </c>
      <c r="F470" s="132"/>
      <c r="G470" s="132"/>
      <c r="H470" s="132"/>
      <c r="I470" s="133" t="s">
        <v>621</v>
      </c>
      <c r="J470" s="133"/>
      <c r="K470" s="133"/>
      <c r="L470" s="133"/>
      <c r="M470" s="133"/>
      <c r="N470" s="134" t="s">
        <v>687</v>
      </c>
      <c r="O470" s="134"/>
      <c r="P470" s="134" t="s">
        <v>699</v>
      </c>
      <c r="Q470" s="134"/>
      <c r="R470" s="134"/>
      <c r="S470" s="134"/>
      <c r="T470" s="135">
        <v>3021040377</v>
      </c>
      <c r="U470" s="135"/>
      <c r="V470" s="136" t="s">
        <v>622</v>
      </c>
      <c r="W470" s="136"/>
      <c r="X470" s="129">
        <v>4500</v>
      </c>
      <c r="Y470" s="129"/>
      <c r="Z470" s="129">
        <v>4091</v>
      </c>
      <c r="AA470" s="129"/>
      <c r="AB470" s="129"/>
      <c r="AC470" s="129"/>
      <c r="AD470" s="129">
        <v>409</v>
      </c>
      <c r="AE470" s="129"/>
      <c r="AF470" s="129"/>
      <c r="AG470" s="129"/>
      <c r="AH470" s="129"/>
      <c r="AI470" s="129">
        <v>0</v>
      </c>
      <c r="AJ470" s="129"/>
      <c r="AK470" s="129"/>
    </row>
    <row r="471" spans="3:37" ht="14.85" customHeight="1" x14ac:dyDescent="0.15">
      <c r="C471" s="132">
        <v>44490</v>
      </c>
      <c r="D471" s="132"/>
      <c r="E471" s="132">
        <v>44491</v>
      </c>
      <c r="F471" s="132"/>
      <c r="G471" s="132"/>
      <c r="H471" s="132"/>
      <c r="I471" s="133" t="s">
        <v>621</v>
      </c>
      <c r="J471" s="133"/>
      <c r="K471" s="133"/>
      <c r="L471" s="133"/>
      <c r="M471" s="133"/>
      <c r="N471" s="134" t="s">
        <v>687</v>
      </c>
      <c r="O471" s="134"/>
      <c r="P471" s="134" t="s">
        <v>694</v>
      </c>
      <c r="Q471" s="134"/>
      <c r="R471" s="134"/>
      <c r="S471" s="134"/>
      <c r="T471" s="135">
        <v>1310434836</v>
      </c>
      <c r="U471" s="135"/>
      <c r="V471" s="136" t="s">
        <v>618</v>
      </c>
      <c r="W471" s="136"/>
      <c r="X471" s="129">
        <v>4500</v>
      </c>
      <c r="Y471" s="129"/>
      <c r="Z471" s="129">
        <v>4091</v>
      </c>
      <c r="AA471" s="129"/>
      <c r="AB471" s="129"/>
      <c r="AC471" s="129"/>
      <c r="AD471" s="129">
        <v>409</v>
      </c>
      <c r="AE471" s="129"/>
      <c r="AF471" s="129"/>
      <c r="AG471" s="129"/>
      <c r="AH471" s="129"/>
      <c r="AI471" s="129">
        <v>0</v>
      </c>
      <c r="AJ471" s="129"/>
      <c r="AK471" s="129"/>
    </row>
    <row r="472" spans="3:37" ht="14.85" customHeight="1" x14ac:dyDescent="0.15">
      <c r="C472" s="132">
        <v>44491</v>
      </c>
      <c r="D472" s="132"/>
      <c r="E472" s="132">
        <v>44493</v>
      </c>
      <c r="F472" s="132"/>
      <c r="G472" s="132"/>
      <c r="H472" s="132"/>
      <c r="I472" s="133" t="s">
        <v>621</v>
      </c>
      <c r="J472" s="133"/>
      <c r="K472" s="133"/>
      <c r="L472" s="133"/>
      <c r="M472" s="133"/>
      <c r="N472" s="134" t="s">
        <v>687</v>
      </c>
      <c r="O472" s="134"/>
      <c r="P472" s="134" t="s">
        <v>692</v>
      </c>
      <c r="Q472" s="134"/>
      <c r="R472" s="134"/>
      <c r="S472" s="134"/>
      <c r="T472" s="135">
        <v>5304900441</v>
      </c>
      <c r="U472" s="135"/>
      <c r="V472" s="136" t="s">
        <v>618</v>
      </c>
      <c r="W472" s="136"/>
      <c r="X472" s="129">
        <v>4500</v>
      </c>
      <c r="Y472" s="129"/>
      <c r="Z472" s="129">
        <v>4091</v>
      </c>
      <c r="AA472" s="129"/>
      <c r="AB472" s="129"/>
      <c r="AC472" s="129"/>
      <c r="AD472" s="129">
        <v>409</v>
      </c>
      <c r="AE472" s="129"/>
      <c r="AF472" s="129"/>
      <c r="AG472" s="129"/>
      <c r="AH472" s="129"/>
      <c r="AI472" s="129">
        <v>0</v>
      </c>
      <c r="AJ472" s="129"/>
      <c r="AK472" s="129"/>
    </row>
    <row r="473" spans="3:37" ht="14.85" customHeight="1" x14ac:dyDescent="0.15">
      <c r="C473" s="132">
        <v>44494</v>
      </c>
      <c r="D473" s="132"/>
      <c r="E473" s="132">
        <v>44495</v>
      </c>
      <c r="F473" s="132"/>
      <c r="G473" s="132"/>
      <c r="H473" s="132"/>
      <c r="I473" s="133" t="s">
        <v>621</v>
      </c>
      <c r="J473" s="133"/>
      <c r="K473" s="133"/>
      <c r="L473" s="133"/>
      <c r="M473" s="133"/>
      <c r="N473" s="134" t="s">
        <v>687</v>
      </c>
      <c r="O473" s="134"/>
      <c r="P473" s="134" t="s">
        <v>699</v>
      </c>
      <c r="Q473" s="134"/>
      <c r="R473" s="134"/>
      <c r="S473" s="134"/>
      <c r="T473" s="135">
        <v>3021040377</v>
      </c>
      <c r="U473" s="135"/>
      <c r="V473" s="136" t="s">
        <v>622</v>
      </c>
      <c r="W473" s="136"/>
      <c r="X473" s="129">
        <v>4500</v>
      </c>
      <c r="Y473" s="129"/>
      <c r="Z473" s="129">
        <v>4091</v>
      </c>
      <c r="AA473" s="129"/>
      <c r="AB473" s="129"/>
      <c r="AC473" s="129"/>
      <c r="AD473" s="129">
        <v>409</v>
      </c>
      <c r="AE473" s="129"/>
      <c r="AF473" s="129"/>
      <c r="AG473" s="129"/>
      <c r="AH473" s="129"/>
      <c r="AI473" s="129">
        <v>0</v>
      </c>
      <c r="AJ473" s="129"/>
      <c r="AK473" s="129"/>
    </row>
    <row r="474" spans="3:37" ht="14.85" customHeight="1" x14ac:dyDescent="0.15">
      <c r="C474" s="132">
        <v>44495</v>
      </c>
      <c r="D474" s="132"/>
      <c r="E474" s="132">
        <v>44497</v>
      </c>
      <c r="F474" s="132"/>
      <c r="G474" s="132"/>
      <c r="H474" s="132"/>
      <c r="I474" s="133" t="s">
        <v>665</v>
      </c>
      <c r="J474" s="133"/>
      <c r="K474" s="133"/>
      <c r="L474" s="133"/>
      <c r="M474" s="133"/>
      <c r="N474" s="134" t="s">
        <v>664</v>
      </c>
      <c r="O474" s="134"/>
      <c r="P474" s="134" t="s">
        <v>692</v>
      </c>
      <c r="Q474" s="134"/>
      <c r="R474" s="134"/>
      <c r="S474" s="134"/>
      <c r="T474" s="135">
        <v>5304900441</v>
      </c>
      <c r="U474" s="135"/>
      <c r="V474" s="136" t="s">
        <v>618</v>
      </c>
      <c r="W474" s="136"/>
      <c r="X474" s="129">
        <v>4500</v>
      </c>
      <c r="Y474" s="129"/>
      <c r="Z474" s="129">
        <v>4091</v>
      </c>
      <c r="AA474" s="129"/>
      <c r="AB474" s="129"/>
      <c r="AC474" s="129"/>
      <c r="AD474" s="129">
        <v>409</v>
      </c>
      <c r="AE474" s="129"/>
      <c r="AF474" s="129"/>
      <c r="AG474" s="129"/>
      <c r="AH474" s="129"/>
      <c r="AI474" s="129">
        <v>0</v>
      </c>
      <c r="AJ474" s="129"/>
      <c r="AK474" s="129"/>
    </row>
    <row r="475" spans="3:37" ht="14.85" customHeight="1" x14ac:dyDescent="0.15">
      <c r="C475" s="132">
        <v>44496</v>
      </c>
      <c r="D475" s="132"/>
      <c r="E475" s="132">
        <v>44497</v>
      </c>
      <c r="F475" s="132"/>
      <c r="G475" s="132"/>
      <c r="H475" s="132"/>
      <c r="I475" s="133" t="s">
        <v>665</v>
      </c>
      <c r="J475" s="133"/>
      <c r="K475" s="133"/>
      <c r="L475" s="133"/>
      <c r="M475" s="133"/>
      <c r="N475" s="134" t="s">
        <v>664</v>
      </c>
      <c r="O475" s="134"/>
      <c r="P475" s="134" t="s">
        <v>694</v>
      </c>
      <c r="Q475" s="134"/>
      <c r="R475" s="134"/>
      <c r="S475" s="134"/>
      <c r="T475" s="135">
        <v>1310434836</v>
      </c>
      <c r="U475" s="135"/>
      <c r="V475" s="136" t="s">
        <v>618</v>
      </c>
      <c r="W475" s="136"/>
      <c r="X475" s="129">
        <v>4500</v>
      </c>
      <c r="Y475" s="129"/>
      <c r="Z475" s="129">
        <v>4091</v>
      </c>
      <c r="AA475" s="129"/>
      <c r="AB475" s="129"/>
      <c r="AC475" s="129"/>
      <c r="AD475" s="129">
        <v>409</v>
      </c>
      <c r="AE475" s="129"/>
      <c r="AF475" s="129"/>
      <c r="AG475" s="129"/>
      <c r="AH475" s="129"/>
      <c r="AI475" s="129">
        <v>0</v>
      </c>
      <c r="AJ475" s="129"/>
      <c r="AK475" s="129"/>
    </row>
    <row r="476" spans="3:37" ht="14.85" customHeight="1" x14ac:dyDescent="0.15">
      <c r="C476" s="132">
        <v>44498</v>
      </c>
      <c r="D476" s="132"/>
      <c r="E476" s="132">
        <v>44499</v>
      </c>
      <c r="F476" s="132"/>
      <c r="G476" s="132"/>
      <c r="H476" s="132"/>
      <c r="I476" s="133" t="s">
        <v>665</v>
      </c>
      <c r="J476" s="133"/>
      <c r="K476" s="133"/>
      <c r="L476" s="133"/>
      <c r="M476" s="133"/>
      <c r="N476" s="134" t="s">
        <v>664</v>
      </c>
      <c r="O476" s="134"/>
      <c r="P476" s="134" t="s">
        <v>694</v>
      </c>
      <c r="Q476" s="134"/>
      <c r="R476" s="134"/>
      <c r="S476" s="134"/>
      <c r="T476" s="135">
        <v>1310434836</v>
      </c>
      <c r="U476" s="135"/>
      <c r="V476" s="136" t="s">
        <v>618</v>
      </c>
      <c r="W476" s="136"/>
      <c r="X476" s="129">
        <v>4500</v>
      </c>
      <c r="Y476" s="129"/>
      <c r="Z476" s="129">
        <v>4091</v>
      </c>
      <c r="AA476" s="129"/>
      <c r="AB476" s="129"/>
      <c r="AC476" s="129"/>
      <c r="AD476" s="129">
        <v>409</v>
      </c>
      <c r="AE476" s="129"/>
      <c r="AF476" s="129"/>
      <c r="AG476" s="129"/>
      <c r="AH476" s="129"/>
      <c r="AI476" s="129">
        <v>0</v>
      </c>
      <c r="AJ476" s="129"/>
      <c r="AK476" s="129"/>
    </row>
    <row r="477" spans="3:37" ht="14.85" customHeight="1" x14ac:dyDescent="0.15">
      <c r="C477" s="132">
        <v>44499</v>
      </c>
      <c r="D477" s="132"/>
      <c r="E477" s="132">
        <v>44500</v>
      </c>
      <c r="F477" s="132"/>
      <c r="G477" s="132"/>
      <c r="H477" s="132"/>
      <c r="I477" s="133" t="s">
        <v>665</v>
      </c>
      <c r="J477" s="133"/>
      <c r="K477" s="133"/>
      <c r="L477" s="133"/>
      <c r="M477" s="133"/>
      <c r="N477" s="134" t="s">
        <v>664</v>
      </c>
      <c r="O477" s="134"/>
      <c r="P477" s="134" t="s">
        <v>673</v>
      </c>
      <c r="Q477" s="134"/>
      <c r="R477" s="134"/>
      <c r="S477" s="134"/>
      <c r="T477" s="135">
        <v>1318553360</v>
      </c>
      <c r="U477" s="135"/>
      <c r="V477" s="136" t="s">
        <v>618</v>
      </c>
      <c r="W477" s="136"/>
      <c r="X477" s="129">
        <v>10980</v>
      </c>
      <c r="Y477" s="129"/>
      <c r="Z477" s="129">
        <v>10555</v>
      </c>
      <c r="AA477" s="129"/>
      <c r="AB477" s="129"/>
      <c r="AC477" s="129"/>
      <c r="AD477" s="129">
        <v>425</v>
      </c>
      <c r="AE477" s="129"/>
      <c r="AF477" s="129"/>
      <c r="AG477" s="129"/>
      <c r="AH477" s="129"/>
      <c r="AI477" s="129">
        <v>0</v>
      </c>
      <c r="AJ477" s="129"/>
      <c r="AK477" s="129"/>
    </row>
    <row r="478" spans="3:37" ht="14.85" customHeight="1" x14ac:dyDescent="0.15">
      <c r="C478" s="132">
        <v>44501</v>
      </c>
      <c r="D478" s="132"/>
      <c r="E478" s="132">
        <v>44502</v>
      </c>
      <c r="F478" s="132"/>
      <c r="G478" s="132"/>
      <c r="H478" s="132"/>
      <c r="I478" s="133" t="s">
        <v>665</v>
      </c>
      <c r="J478" s="133"/>
      <c r="K478" s="133"/>
      <c r="L478" s="133"/>
      <c r="M478" s="133"/>
      <c r="N478" s="134" t="s">
        <v>664</v>
      </c>
      <c r="O478" s="134"/>
      <c r="P478" s="134" t="s">
        <v>694</v>
      </c>
      <c r="Q478" s="134"/>
      <c r="R478" s="134"/>
      <c r="S478" s="134"/>
      <c r="T478" s="135">
        <v>1310434836</v>
      </c>
      <c r="U478" s="135"/>
      <c r="V478" s="136" t="s">
        <v>618</v>
      </c>
      <c r="W478" s="136"/>
      <c r="X478" s="129">
        <v>4500</v>
      </c>
      <c r="Y478" s="129"/>
      <c r="Z478" s="129">
        <v>4091</v>
      </c>
      <c r="AA478" s="129"/>
      <c r="AB478" s="129"/>
      <c r="AC478" s="129"/>
      <c r="AD478" s="129">
        <v>409</v>
      </c>
      <c r="AE478" s="129"/>
      <c r="AF478" s="129"/>
      <c r="AG478" s="129"/>
      <c r="AH478" s="129"/>
      <c r="AI478" s="129">
        <v>0</v>
      </c>
      <c r="AJ478" s="129"/>
      <c r="AK478" s="129"/>
    </row>
    <row r="479" spans="3:37" ht="14.85" customHeight="1" x14ac:dyDescent="0.15">
      <c r="C479" s="132">
        <v>44502</v>
      </c>
      <c r="D479" s="132"/>
      <c r="E479" s="132">
        <v>44503</v>
      </c>
      <c r="F479" s="132"/>
      <c r="G479" s="132"/>
      <c r="H479" s="132"/>
      <c r="I479" s="133" t="s">
        <v>665</v>
      </c>
      <c r="J479" s="133"/>
      <c r="K479" s="133"/>
      <c r="L479" s="133"/>
      <c r="M479" s="133"/>
      <c r="N479" s="134" t="s">
        <v>664</v>
      </c>
      <c r="O479" s="134"/>
      <c r="P479" s="134" t="s">
        <v>714</v>
      </c>
      <c r="Q479" s="134"/>
      <c r="R479" s="134"/>
      <c r="S479" s="134"/>
      <c r="T479" s="135">
        <v>3462200761</v>
      </c>
      <c r="U479" s="135"/>
      <c r="V479" s="136" t="s">
        <v>622</v>
      </c>
      <c r="W479" s="136"/>
      <c r="X479" s="129">
        <v>4500</v>
      </c>
      <c r="Y479" s="129"/>
      <c r="Z479" s="129">
        <v>4091</v>
      </c>
      <c r="AA479" s="129"/>
      <c r="AB479" s="129"/>
      <c r="AC479" s="129"/>
      <c r="AD479" s="129">
        <v>409</v>
      </c>
      <c r="AE479" s="129"/>
      <c r="AF479" s="129"/>
      <c r="AG479" s="129"/>
      <c r="AH479" s="129"/>
      <c r="AI479" s="129">
        <v>0</v>
      </c>
      <c r="AJ479" s="129"/>
      <c r="AK479" s="129"/>
    </row>
    <row r="480" spans="3:37" ht="14.85" customHeight="1" x14ac:dyDescent="0.15">
      <c r="C480" s="132">
        <v>44469</v>
      </c>
      <c r="D480" s="132"/>
      <c r="E480" s="132">
        <v>44503</v>
      </c>
      <c r="F480" s="132"/>
      <c r="G480" s="132"/>
      <c r="H480" s="132"/>
      <c r="I480" s="133" t="s">
        <v>621</v>
      </c>
      <c r="J480" s="133"/>
      <c r="K480" s="133"/>
      <c r="L480" s="133"/>
      <c r="M480" s="133"/>
      <c r="N480" s="134" t="s">
        <v>620</v>
      </c>
      <c r="O480" s="134"/>
      <c r="P480" s="134" t="s">
        <v>640</v>
      </c>
      <c r="Q480" s="134"/>
      <c r="R480" s="134"/>
      <c r="S480" s="134"/>
      <c r="T480" s="135">
        <v>2028148079</v>
      </c>
      <c r="U480" s="135"/>
      <c r="V480" s="136" t="s">
        <v>618</v>
      </c>
      <c r="W480" s="136"/>
      <c r="X480" s="129">
        <v>200</v>
      </c>
      <c r="Y480" s="129"/>
      <c r="Z480" s="129">
        <v>200</v>
      </c>
      <c r="AA480" s="129"/>
      <c r="AB480" s="129"/>
      <c r="AC480" s="129"/>
      <c r="AD480" s="129">
        <v>0</v>
      </c>
      <c r="AE480" s="129"/>
      <c r="AF480" s="129"/>
      <c r="AG480" s="129"/>
      <c r="AH480" s="129"/>
      <c r="AI480" s="129">
        <v>0</v>
      </c>
      <c r="AJ480" s="129"/>
      <c r="AK480" s="129"/>
    </row>
    <row r="481" spans="3:37" ht="14.85" customHeight="1" x14ac:dyDescent="0.15">
      <c r="C481" s="132">
        <v>44504</v>
      </c>
      <c r="D481" s="132"/>
      <c r="E481" s="132">
        <v>44505</v>
      </c>
      <c r="F481" s="132"/>
      <c r="G481" s="132"/>
      <c r="H481" s="132"/>
      <c r="I481" s="133" t="s">
        <v>665</v>
      </c>
      <c r="J481" s="133"/>
      <c r="K481" s="133"/>
      <c r="L481" s="133"/>
      <c r="M481" s="133"/>
      <c r="N481" s="134" t="s">
        <v>664</v>
      </c>
      <c r="O481" s="134"/>
      <c r="P481" s="134" t="s">
        <v>694</v>
      </c>
      <c r="Q481" s="134"/>
      <c r="R481" s="134"/>
      <c r="S481" s="134"/>
      <c r="T481" s="135">
        <v>1310434836</v>
      </c>
      <c r="U481" s="135"/>
      <c r="V481" s="136" t="s">
        <v>618</v>
      </c>
      <c r="W481" s="136"/>
      <c r="X481" s="129">
        <v>4500</v>
      </c>
      <c r="Y481" s="129"/>
      <c r="Z481" s="129">
        <v>4091</v>
      </c>
      <c r="AA481" s="129"/>
      <c r="AB481" s="129"/>
      <c r="AC481" s="129"/>
      <c r="AD481" s="129">
        <v>409</v>
      </c>
      <c r="AE481" s="129"/>
      <c r="AF481" s="129"/>
      <c r="AG481" s="129"/>
      <c r="AH481" s="129"/>
      <c r="AI481" s="129">
        <v>0</v>
      </c>
      <c r="AJ481" s="129"/>
      <c r="AK481" s="129"/>
    </row>
    <row r="482" spans="3:37" ht="14.85" customHeight="1" x14ac:dyDescent="0.15">
      <c r="C482" s="132">
        <v>44505</v>
      </c>
      <c r="D482" s="132"/>
      <c r="E482" s="132">
        <v>44507</v>
      </c>
      <c r="F482" s="132"/>
      <c r="G482" s="132"/>
      <c r="H482" s="132"/>
      <c r="I482" s="133" t="s">
        <v>621</v>
      </c>
      <c r="J482" s="133"/>
      <c r="K482" s="133"/>
      <c r="L482" s="133"/>
      <c r="M482" s="133"/>
      <c r="N482" s="134" t="s">
        <v>687</v>
      </c>
      <c r="O482" s="134"/>
      <c r="P482" s="134" t="s">
        <v>692</v>
      </c>
      <c r="Q482" s="134"/>
      <c r="R482" s="134"/>
      <c r="S482" s="134"/>
      <c r="T482" s="135">
        <v>5304900441</v>
      </c>
      <c r="U482" s="135"/>
      <c r="V482" s="136" t="s">
        <v>618</v>
      </c>
      <c r="W482" s="136"/>
      <c r="X482" s="129">
        <v>4500</v>
      </c>
      <c r="Y482" s="129"/>
      <c r="Z482" s="129">
        <v>4091</v>
      </c>
      <c r="AA482" s="129"/>
      <c r="AB482" s="129"/>
      <c r="AC482" s="129"/>
      <c r="AD482" s="129">
        <v>409</v>
      </c>
      <c r="AE482" s="129"/>
      <c r="AF482" s="129"/>
      <c r="AG482" s="129"/>
      <c r="AH482" s="129"/>
      <c r="AI482" s="129">
        <v>0</v>
      </c>
      <c r="AJ482" s="129"/>
      <c r="AK482" s="129"/>
    </row>
    <row r="483" spans="3:37" ht="14.85" customHeight="1" x14ac:dyDescent="0.15">
      <c r="C483" s="132">
        <v>44506</v>
      </c>
      <c r="D483" s="132"/>
      <c r="E483" s="132">
        <v>44508</v>
      </c>
      <c r="F483" s="132"/>
      <c r="G483" s="132"/>
      <c r="H483" s="132"/>
      <c r="I483" s="133" t="s">
        <v>621</v>
      </c>
      <c r="J483" s="133"/>
      <c r="K483" s="133"/>
      <c r="L483" s="133"/>
      <c r="M483" s="133"/>
      <c r="N483" s="134" t="s">
        <v>687</v>
      </c>
      <c r="O483" s="134"/>
      <c r="P483" s="134" t="s">
        <v>713</v>
      </c>
      <c r="Q483" s="134"/>
      <c r="R483" s="134"/>
      <c r="S483" s="134"/>
      <c r="T483" s="135">
        <v>6755200254</v>
      </c>
      <c r="U483" s="135"/>
      <c r="V483" s="136" t="s">
        <v>618</v>
      </c>
      <c r="W483" s="136"/>
      <c r="X483" s="129">
        <v>4500</v>
      </c>
      <c r="Y483" s="129"/>
      <c r="Z483" s="129">
        <v>4091</v>
      </c>
      <c r="AA483" s="129"/>
      <c r="AB483" s="129"/>
      <c r="AC483" s="129"/>
      <c r="AD483" s="129">
        <v>409</v>
      </c>
      <c r="AE483" s="129"/>
      <c r="AF483" s="129"/>
      <c r="AG483" s="129"/>
      <c r="AH483" s="129"/>
      <c r="AI483" s="129">
        <v>0</v>
      </c>
      <c r="AJ483" s="129"/>
      <c r="AK483" s="129"/>
    </row>
    <row r="484" spans="3:37" ht="14.85" customHeight="1" x14ac:dyDescent="0.15">
      <c r="C484" s="132">
        <v>44505</v>
      </c>
      <c r="D484" s="132"/>
      <c r="E484" s="132">
        <v>44508</v>
      </c>
      <c r="F484" s="132"/>
      <c r="G484" s="132"/>
      <c r="H484" s="132"/>
      <c r="I484" s="133" t="s">
        <v>621</v>
      </c>
      <c r="J484" s="133"/>
      <c r="K484" s="133"/>
      <c r="L484" s="133"/>
      <c r="M484" s="133"/>
      <c r="N484" s="134" t="s">
        <v>648</v>
      </c>
      <c r="O484" s="134"/>
      <c r="P484" s="134" t="s">
        <v>712</v>
      </c>
      <c r="Q484" s="134"/>
      <c r="R484" s="134"/>
      <c r="S484" s="134"/>
      <c r="T484" s="135">
        <v>1028142945</v>
      </c>
      <c r="U484" s="135"/>
      <c r="V484" s="136" t="s">
        <v>618</v>
      </c>
      <c r="W484" s="136"/>
      <c r="X484" s="129">
        <v>308290</v>
      </c>
      <c r="Y484" s="129"/>
      <c r="Z484" s="129">
        <v>308290</v>
      </c>
      <c r="AA484" s="129"/>
      <c r="AB484" s="129"/>
      <c r="AC484" s="129"/>
      <c r="AD484" s="129">
        <v>0</v>
      </c>
      <c r="AE484" s="129"/>
      <c r="AF484" s="129"/>
      <c r="AG484" s="129"/>
      <c r="AH484" s="129"/>
      <c r="AI484" s="129">
        <v>0</v>
      </c>
      <c r="AJ484" s="129"/>
      <c r="AK484" s="129"/>
    </row>
    <row r="485" spans="3:37" ht="14.85" customHeight="1" x14ac:dyDescent="0.15">
      <c r="C485" s="132">
        <v>44508</v>
      </c>
      <c r="D485" s="132"/>
      <c r="E485" s="132">
        <v>44509</v>
      </c>
      <c r="F485" s="132"/>
      <c r="G485" s="132"/>
      <c r="H485" s="132"/>
      <c r="I485" s="133" t="s">
        <v>621</v>
      </c>
      <c r="J485" s="133"/>
      <c r="K485" s="133"/>
      <c r="L485" s="133"/>
      <c r="M485" s="133"/>
      <c r="N485" s="134" t="s">
        <v>687</v>
      </c>
      <c r="O485" s="134"/>
      <c r="P485" s="134" t="s">
        <v>701</v>
      </c>
      <c r="Q485" s="134"/>
      <c r="R485" s="134"/>
      <c r="S485" s="134"/>
      <c r="T485" s="135">
        <v>6471100386</v>
      </c>
      <c r="U485" s="135"/>
      <c r="V485" s="136" t="s">
        <v>618</v>
      </c>
      <c r="W485" s="136"/>
      <c r="X485" s="129">
        <v>4500</v>
      </c>
      <c r="Y485" s="129"/>
      <c r="Z485" s="129">
        <v>4091</v>
      </c>
      <c r="AA485" s="129"/>
      <c r="AB485" s="129"/>
      <c r="AC485" s="129"/>
      <c r="AD485" s="129">
        <v>409</v>
      </c>
      <c r="AE485" s="129"/>
      <c r="AF485" s="129"/>
      <c r="AG485" s="129"/>
      <c r="AH485" s="129"/>
      <c r="AI485" s="129">
        <v>0</v>
      </c>
      <c r="AJ485" s="129"/>
      <c r="AK485" s="129"/>
    </row>
    <row r="486" spans="3:37" ht="14.85" customHeight="1" x14ac:dyDescent="0.15">
      <c r="C486" s="132">
        <v>44513</v>
      </c>
      <c r="D486" s="132"/>
      <c r="E486" s="132">
        <v>44510</v>
      </c>
      <c r="F486" s="132"/>
      <c r="G486" s="132"/>
      <c r="H486" s="132"/>
      <c r="I486" s="133" t="s">
        <v>621</v>
      </c>
      <c r="J486" s="133"/>
      <c r="K486" s="133"/>
      <c r="L486" s="133"/>
      <c r="M486" s="133"/>
      <c r="N486" s="134" t="s">
        <v>687</v>
      </c>
      <c r="O486" s="134"/>
      <c r="P486" s="134" t="s">
        <v>666</v>
      </c>
      <c r="Q486" s="134"/>
      <c r="R486" s="134"/>
      <c r="S486" s="134"/>
      <c r="T486" s="135">
        <v>2208139938</v>
      </c>
      <c r="U486" s="135"/>
      <c r="V486" s="136" t="s">
        <v>618</v>
      </c>
      <c r="W486" s="136"/>
      <c r="X486" s="129">
        <v>43050</v>
      </c>
      <c r="Y486" s="129"/>
      <c r="Z486" s="129">
        <v>43050</v>
      </c>
      <c r="AA486" s="129"/>
      <c r="AB486" s="129"/>
      <c r="AC486" s="129"/>
      <c r="AD486" s="129">
        <v>0</v>
      </c>
      <c r="AE486" s="129"/>
      <c r="AF486" s="129"/>
      <c r="AG486" s="129"/>
      <c r="AH486" s="129"/>
      <c r="AI486" s="129">
        <v>0</v>
      </c>
      <c r="AJ486" s="129"/>
      <c r="AK486" s="129"/>
    </row>
    <row r="487" spans="3:37" ht="14.85" customHeight="1" x14ac:dyDescent="0.15">
      <c r="C487" s="132">
        <v>44513</v>
      </c>
      <c r="D487" s="132"/>
      <c r="E487" s="132">
        <v>44510</v>
      </c>
      <c r="F487" s="132"/>
      <c r="G487" s="132"/>
      <c r="H487" s="132"/>
      <c r="I487" s="133" t="s">
        <v>621</v>
      </c>
      <c r="J487" s="133"/>
      <c r="K487" s="133"/>
      <c r="L487" s="133"/>
      <c r="M487" s="133"/>
      <c r="N487" s="134" t="s">
        <v>687</v>
      </c>
      <c r="O487" s="134"/>
      <c r="P487" s="134" t="s">
        <v>636</v>
      </c>
      <c r="Q487" s="134"/>
      <c r="R487" s="134"/>
      <c r="S487" s="134"/>
      <c r="T487" s="135">
        <v>2208139938</v>
      </c>
      <c r="U487" s="135"/>
      <c r="V487" s="136" t="s">
        <v>618</v>
      </c>
      <c r="W487" s="136"/>
      <c r="X487" s="129">
        <v>8760</v>
      </c>
      <c r="Y487" s="129"/>
      <c r="Z487" s="129">
        <v>8760</v>
      </c>
      <c r="AA487" s="129"/>
      <c r="AB487" s="129"/>
      <c r="AC487" s="129"/>
      <c r="AD487" s="129">
        <v>0</v>
      </c>
      <c r="AE487" s="129"/>
      <c r="AF487" s="129"/>
      <c r="AG487" s="129"/>
      <c r="AH487" s="129"/>
      <c r="AI487" s="129">
        <v>0</v>
      </c>
      <c r="AJ487" s="129"/>
      <c r="AK487" s="129"/>
    </row>
    <row r="488" spans="3:37" ht="14.85" customHeight="1" x14ac:dyDescent="0.15">
      <c r="C488" s="132">
        <v>44510</v>
      </c>
      <c r="D488" s="132"/>
      <c r="E488" s="132">
        <v>44511</v>
      </c>
      <c r="F488" s="132"/>
      <c r="G488" s="132"/>
      <c r="H488" s="132"/>
      <c r="I488" s="133" t="s">
        <v>665</v>
      </c>
      <c r="J488" s="133"/>
      <c r="K488" s="133"/>
      <c r="L488" s="133"/>
      <c r="M488" s="133"/>
      <c r="N488" s="134" t="s">
        <v>664</v>
      </c>
      <c r="O488" s="134"/>
      <c r="P488" s="134" t="s">
        <v>627</v>
      </c>
      <c r="Q488" s="134"/>
      <c r="R488" s="134"/>
      <c r="S488" s="134"/>
      <c r="T488" s="135">
        <v>2329300384</v>
      </c>
      <c r="U488" s="135"/>
      <c r="V488" s="136" t="s">
        <v>626</v>
      </c>
      <c r="W488" s="136"/>
      <c r="X488" s="129">
        <v>4100</v>
      </c>
      <c r="Y488" s="129"/>
      <c r="Z488" s="129">
        <v>4100</v>
      </c>
      <c r="AA488" s="129"/>
      <c r="AB488" s="129"/>
      <c r="AC488" s="129"/>
      <c r="AD488" s="129">
        <v>0</v>
      </c>
      <c r="AE488" s="129"/>
      <c r="AF488" s="129"/>
      <c r="AG488" s="129"/>
      <c r="AH488" s="129"/>
      <c r="AI488" s="129">
        <v>0</v>
      </c>
      <c r="AJ488" s="129"/>
      <c r="AK488" s="129"/>
    </row>
    <row r="489" spans="3:37" ht="14.85" customHeight="1" x14ac:dyDescent="0.15">
      <c r="C489" s="132">
        <v>44510</v>
      </c>
      <c r="D489" s="132"/>
      <c r="E489" s="132">
        <v>44511</v>
      </c>
      <c r="F489" s="132"/>
      <c r="G489" s="132"/>
      <c r="H489" s="132"/>
      <c r="I489" s="133" t="s">
        <v>665</v>
      </c>
      <c r="J489" s="133"/>
      <c r="K489" s="133"/>
      <c r="L489" s="133"/>
      <c r="M489" s="133"/>
      <c r="N489" s="134" t="s">
        <v>664</v>
      </c>
      <c r="O489" s="134"/>
      <c r="P489" s="134" t="s">
        <v>625</v>
      </c>
      <c r="Q489" s="134"/>
      <c r="R489" s="134"/>
      <c r="S489" s="134"/>
      <c r="T489" s="135">
        <v>6073354644</v>
      </c>
      <c r="U489" s="135"/>
      <c r="V489" s="136" t="s">
        <v>618</v>
      </c>
      <c r="W489" s="136"/>
      <c r="X489" s="129">
        <v>31500</v>
      </c>
      <c r="Y489" s="129"/>
      <c r="Z489" s="129">
        <v>31500</v>
      </c>
      <c r="AA489" s="129"/>
      <c r="AB489" s="129"/>
      <c r="AC489" s="129"/>
      <c r="AD489" s="129">
        <v>0</v>
      </c>
      <c r="AE489" s="129"/>
      <c r="AF489" s="129"/>
      <c r="AG489" s="129"/>
      <c r="AH489" s="129"/>
      <c r="AI489" s="129">
        <v>0</v>
      </c>
      <c r="AJ489" s="129"/>
      <c r="AK489" s="129"/>
    </row>
    <row r="490" spans="3:37" ht="14.85" customHeight="1" x14ac:dyDescent="0.15">
      <c r="C490" s="132">
        <v>44510</v>
      </c>
      <c r="D490" s="132"/>
      <c r="E490" s="132">
        <v>44512</v>
      </c>
      <c r="F490" s="132"/>
      <c r="G490" s="132"/>
      <c r="H490" s="132"/>
      <c r="I490" s="133" t="s">
        <v>665</v>
      </c>
      <c r="J490" s="133"/>
      <c r="K490" s="133"/>
      <c r="L490" s="133"/>
      <c r="M490" s="133"/>
      <c r="N490" s="134" t="s">
        <v>664</v>
      </c>
      <c r="O490" s="134"/>
      <c r="P490" s="134" t="s">
        <v>692</v>
      </c>
      <c r="Q490" s="134"/>
      <c r="R490" s="134"/>
      <c r="S490" s="134"/>
      <c r="T490" s="135">
        <v>5304900441</v>
      </c>
      <c r="U490" s="135"/>
      <c r="V490" s="136" t="s">
        <v>618</v>
      </c>
      <c r="W490" s="136"/>
      <c r="X490" s="129">
        <v>8100</v>
      </c>
      <c r="Y490" s="129"/>
      <c r="Z490" s="129">
        <v>7364</v>
      </c>
      <c r="AA490" s="129"/>
      <c r="AB490" s="129"/>
      <c r="AC490" s="129"/>
      <c r="AD490" s="129">
        <v>736</v>
      </c>
      <c r="AE490" s="129"/>
      <c r="AF490" s="129"/>
      <c r="AG490" s="129"/>
      <c r="AH490" s="129"/>
      <c r="AI490" s="129">
        <v>0</v>
      </c>
      <c r="AJ490" s="129"/>
      <c r="AK490" s="129"/>
    </row>
    <row r="491" spans="3:37" ht="14.85" customHeight="1" x14ac:dyDescent="0.15">
      <c r="C491" s="132">
        <v>44512</v>
      </c>
      <c r="D491" s="132"/>
      <c r="E491" s="132">
        <v>44513</v>
      </c>
      <c r="F491" s="132"/>
      <c r="G491" s="132"/>
      <c r="H491" s="132"/>
      <c r="I491" s="133" t="s">
        <v>665</v>
      </c>
      <c r="J491" s="133"/>
      <c r="K491" s="133"/>
      <c r="L491" s="133"/>
      <c r="M491" s="133"/>
      <c r="N491" s="134" t="s">
        <v>664</v>
      </c>
      <c r="O491" s="134"/>
      <c r="P491" s="134" t="s">
        <v>694</v>
      </c>
      <c r="Q491" s="134"/>
      <c r="R491" s="134"/>
      <c r="S491" s="134"/>
      <c r="T491" s="135">
        <v>1310434836</v>
      </c>
      <c r="U491" s="135"/>
      <c r="V491" s="136" t="s">
        <v>618</v>
      </c>
      <c r="W491" s="136"/>
      <c r="X491" s="129">
        <v>4500</v>
      </c>
      <c r="Y491" s="129"/>
      <c r="Z491" s="129">
        <v>4091</v>
      </c>
      <c r="AA491" s="129"/>
      <c r="AB491" s="129"/>
      <c r="AC491" s="129"/>
      <c r="AD491" s="129">
        <v>409</v>
      </c>
      <c r="AE491" s="129"/>
      <c r="AF491" s="129"/>
      <c r="AG491" s="129"/>
      <c r="AH491" s="129"/>
      <c r="AI491" s="129">
        <v>0</v>
      </c>
      <c r="AJ491" s="129"/>
      <c r="AK491" s="129"/>
    </row>
    <row r="492" spans="3:37" ht="14.85" customHeight="1" x14ac:dyDescent="0.15">
      <c r="C492" s="132">
        <v>44513</v>
      </c>
      <c r="D492" s="132"/>
      <c r="E492" s="132">
        <v>44514</v>
      </c>
      <c r="F492" s="132"/>
      <c r="G492" s="132"/>
      <c r="H492" s="132"/>
      <c r="I492" s="133" t="s">
        <v>665</v>
      </c>
      <c r="J492" s="133"/>
      <c r="K492" s="133"/>
      <c r="L492" s="133"/>
      <c r="M492" s="133"/>
      <c r="N492" s="134" t="s">
        <v>664</v>
      </c>
      <c r="O492" s="134"/>
      <c r="P492" s="134" t="s">
        <v>673</v>
      </c>
      <c r="Q492" s="134"/>
      <c r="R492" s="134"/>
      <c r="S492" s="134"/>
      <c r="T492" s="135">
        <v>1318553360</v>
      </c>
      <c r="U492" s="135"/>
      <c r="V492" s="136" t="s">
        <v>618</v>
      </c>
      <c r="W492" s="136"/>
      <c r="X492" s="129">
        <v>37470</v>
      </c>
      <c r="Y492" s="129"/>
      <c r="Z492" s="129">
        <v>37470</v>
      </c>
      <c r="AA492" s="129"/>
      <c r="AB492" s="129"/>
      <c r="AC492" s="129"/>
      <c r="AD492" s="129">
        <v>0</v>
      </c>
      <c r="AE492" s="129"/>
      <c r="AF492" s="129"/>
      <c r="AG492" s="129"/>
      <c r="AH492" s="129"/>
      <c r="AI492" s="129">
        <v>0</v>
      </c>
      <c r="AJ492" s="129"/>
      <c r="AK492" s="129"/>
    </row>
    <row r="493" spans="3:37" ht="14.85" customHeight="1" x14ac:dyDescent="0.15">
      <c r="C493" s="132">
        <v>44513</v>
      </c>
      <c r="D493" s="132"/>
      <c r="E493" s="132">
        <v>44514</v>
      </c>
      <c r="F493" s="132"/>
      <c r="G493" s="132"/>
      <c r="H493" s="132"/>
      <c r="I493" s="133" t="s">
        <v>665</v>
      </c>
      <c r="J493" s="133"/>
      <c r="K493" s="133"/>
      <c r="L493" s="133"/>
      <c r="M493" s="133"/>
      <c r="N493" s="134" t="s">
        <v>664</v>
      </c>
      <c r="O493" s="134"/>
      <c r="P493" s="134" t="s">
        <v>699</v>
      </c>
      <c r="Q493" s="134"/>
      <c r="R493" s="134"/>
      <c r="S493" s="134"/>
      <c r="T493" s="135">
        <v>3021040377</v>
      </c>
      <c r="U493" s="135"/>
      <c r="V493" s="136" t="s">
        <v>622</v>
      </c>
      <c r="W493" s="136"/>
      <c r="X493" s="129">
        <v>3600</v>
      </c>
      <c r="Y493" s="129"/>
      <c r="Z493" s="129">
        <v>3291</v>
      </c>
      <c r="AA493" s="129"/>
      <c r="AB493" s="129"/>
      <c r="AC493" s="129"/>
      <c r="AD493" s="129">
        <v>309</v>
      </c>
      <c r="AE493" s="129"/>
      <c r="AF493" s="129"/>
      <c r="AG493" s="129"/>
      <c r="AH493" s="129"/>
      <c r="AI493" s="129">
        <v>0</v>
      </c>
      <c r="AJ493" s="129"/>
      <c r="AK493" s="129"/>
    </row>
    <row r="494" spans="3:37" ht="14.85" customHeight="1" x14ac:dyDescent="0.15">
      <c r="C494" s="132">
        <v>44514</v>
      </c>
      <c r="D494" s="132"/>
      <c r="E494" s="132">
        <v>44516</v>
      </c>
      <c r="F494" s="132"/>
      <c r="G494" s="132"/>
      <c r="H494" s="132"/>
      <c r="I494" s="133" t="s">
        <v>665</v>
      </c>
      <c r="J494" s="133"/>
      <c r="K494" s="133"/>
      <c r="L494" s="133"/>
      <c r="M494" s="133"/>
      <c r="N494" s="134" t="s">
        <v>664</v>
      </c>
      <c r="O494" s="134"/>
      <c r="P494" s="134" t="s">
        <v>711</v>
      </c>
      <c r="Q494" s="134"/>
      <c r="R494" s="134"/>
      <c r="S494" s="134"/>
      <c r="T494" s="135">
        <v>1058177410</v>
      </c>
      <c r="U494" s="135"/>
      <c r="V494" s="136" t="s">
        <v>622</v>
      </c>
      <c r="W494" s="136"/>
      <c r="X494" s="129">
        <v>800</v>
      </c>
      <c r="Y494" s="129"/>
      <c r="Z494" s="129">
        <v>800</v>
      </c>
      <c r="AA494" s="129"/>
      <c r="AB494" s="129"/>
      <c r="AC494" s="129"/>
      <c r="AD494" s="129">
        <v>0</v>
      </c>
      <c r="AE494" s="129"/>
      <c r="AF494" s="129"/>
      <c r="AG494" s="129"/>
      <c r="AH494" s="129"/>
      <c r="AI494" s="129">
        <v>0</v>
      </c>
      <c r="AJ494" s="129"/>
      <c r="AK494" s="129"/>
    </row>
    <row r="495" spans="3:37" ht="14.85" customHeight="1" x14ac:dyDescent="0.15">
      <c r="C495" s="132">
        <v>44514</v>
      </c>
      <c r="D495" s="132"/>
      <c r="E495" s="132">
        <v>44516</v>
      </c>
      <c r="F495" s="132"/>
      <c r="G495" s="132"/>
      <c r="H495" s="132"/>
      <c r="I495" s="133" t="s">
        <v>665</v>
      </c>
      <c r="J495" s="133"/>
      <c r="K495" s="133"/>
      <c r="L495" s="133"/>
      <c r="M495" s="133"/>
      <c r="N495" s="134" t="s">
        <v>664</v>
      </c>
      <c r="O495" s="134"/>
      <c r="P495" s="134" t="s">
        <v>711</v>
      </c>
      <c r="Q495" s="134"/>
      <c r="R495" s="134"/>
      <c r="S495" s="134"/>
      <c r="T495" s="135">
        <v>1058177410</v>
      </c>
      <c r="U495" s="135"/>
      <c r="V495" s="136" t="s">
        <v>622</v>
      </c>
      <c r="W495" s="136"/>
      <c r="X495" s="129">
        <v>800</v>
      </c>
      <c r="Y495" s="129"/>
      <c r="Z495" s="129">
        <v>800</v>
      </c>
      <c r="AA495" s="129"/>
      <c r="AB495" s="129"/>
      <c r="AC495" s="129"/>
      <c r="AD495" s="129">
        <v>0</v>
      </c>
      <c r="AE495" s="129"/>
      <c r="AF495" s="129"/>
      <c r="AG495" s="129"/>
      <c r="AH495" s="129"/>
      <c r="AI495" s="129">
        <v>0</v>
      </c>
      <c r="AJ495" s="129"/>
      <c r="AK495" s="129"/>
    </row>
    <row r="496" spans="3:37" ht="14.85" customHeight="1" x14ac:dyDescent="0.15">
      <c r="C496" s="132">
        <v>44513</v>
      </c>
      <c r="D496" s="132"/>
      <c r="E496" s="132">
        <v>44515</v>
      </c>
      <c r="F496" s="132"/>
      <c r="G496" s="132"/>
      <c r="H496" s="132"/>
      <c r="I496" s="133" t="s">
        <v>665</v>
      </c>
      <c r="J496" s="133"/>
      <c r="K496" s="133"/>
      <c r="L496" s="133"/>
      <c r="M496" s="133"/>
      <c r="N496" s="134" t="s">
        <v>664</v>
      </c>
      <c r="O496" s="134"/>
      <c r="P496" s="134" t="s">
        <v>692</v>
      </c>
      <c r="Q496" s="134"/>
      <c r="R496" s="134"/>
      <c r="S496" s="134"/>
      <c r="T496" s="135">
        <v>5304900441</v>
      </c>
      <c r="U496" s="135"/>
      <c r="V496" s="136" t="s">
        <v>618</v>
      </c>
      <c r="W496" s="136"/>
      <c r="X496" s="129">
        <v>5900</v>
      </c>
      <c r="Y496" s="129"/>
      <c r="Z496" s="129">
        <v>5364</v>
      </c>
      <c r="AA496" s="129"/>
      <c r="AB496" s="129"/>
      <c r="AC496" s="129"/>
      <c r="AD496" s="129">
        <v>536</v>
      </c>
      <c r="AE496" s="129"/>
      <c r="AF496" s="129"/>
      <c r="AG496" s="129"/>
      <c r="AH496" s="129"/>
      <c r="AI496" s="129">
        <v>0</v>
      </c>
      <c r="AJ496" s="129"/>
      <c r="AK496" s="129"/>
    </row>
    <row r="497" spans="3:37" ht="14.85" customHeight="1" x14ac:dyDescent="0.15">
      <c r="C497" s="132">
        <v>44515</v>
      </c>
      <c r="D497" s="132"/>
      <c r="E497" s="132">
        <v>44516</v>
      </c>
      <c r="F497" s="132"/>
      <c r="G497" s="132"/>
      <c r="H497" s="132"/>
      <c r="I497" s="133" t="s">
        <v>665</v>
      </c>
      <c r="J497" s="133"/>
      <c r="K497" s="133"/>
      <c r="L497" s="133"/>
      <c r="M497" s="133"/>
      <c r="N497" s="134" t="s">
        <v>664</v>
      </c>
      <c r="O497" s="134"/>
      <c r="P497" s="134" t="s">
        <v>694</v>
      </c>
      <c r="Q497" s="134"/>
      <c r="R497" s="134"/>
      <c r="S497" s="134"/>
      <c r="T497" s="135">
        <v>1310434836</v>
      </c>
      <c r="U497" s="135"/>
      <c r="V497" s="136" t="s">
        <v>618</v>
      </c>
      <c r="W497" s="136"/>
      <c r="X497" s="129">
        <v>4500</v>
      </c>
      <c r="Y497" s="129"/>
      <c r="Z497" s="129">
        <v>4091</v>
      </c>
      <c r="AA497" s="129"/>
      <c r="AB497" s="129"/>
      <c r="AC497" s="129"/>
      <c r="AD497" s="129">
        <v>409</v>
      </c>
      <c r="AE497" s="129"/>
      <c r="AF497" s="129"/>
      <c r="AG497" s="129"/>
      <c r="AH497" s="129"/>
      <c r="AI497" s="129">
        <v>0</v>
      </c>
      <c r="AJ497" s="129"/>
      <c r="AK497" s="129"/>
    </row>
    <row r="498" spans="3:37" ht="14.85" customHeight="1" x14ac:dyDescent="0.15">
      <c r="C498" s="132">
        <v>44515</v>
      </c>
      <c r="D498" s="132"/>
      <c r="E498" s="132">
        <v>44516</v>
      </c>
      <c r="F498" s="132"/>
      <c r="G498" s="132"/>
      <c r="H498" s="132"/>
      <c r="I498" s="133" t="s">
        <v>665</v>
      </c>
      <c r="J498" s="133"/>
      <c r="K498" s="133"/>
      <c r="L498" s="133"/>
      <c r="M498" s="133"/>
      <c r="N498" s="134" t="s">
        <v>664</v>
      </c>
      <c r="O498" s="134"/>
      <c r="P498" s="134" t="s">
        <v>710</v>
      </c>
      <c r="Q498" s="134"/>
      <c r="R498" s="134"/>
      <c r="S498" s="134"/>
      <c r="T498" s="135">
        <v>1018302925</v>
      </c>
      <c r="U498" s="135"/>
      <c r="V498" s="136" t="s">
        <v>618</v>
      </c>
      <c r="W498" s="136"/>
      <c r="X498" s="129">
        <v>17970</v>
      </c>
      <c r="Y498" s="129"/>
      <c r="Z498" s="129">
        <v>17970</v>
      </c>
      <c r="AA498" s="129"/>
      <c r="AB498" s="129"/>
      <c r="AC498" s="129"/>
      <c r="AD498" s="129">
        <v>0</v>
      </c>
      <c r="AE498" s="129"/>
      <c r="AF498" s="129"/>
      <c r="AG498" s="129"/>
      <c r="AH498" s="129"/>
      <c r="AI498" s="129">
        <v>0</v>
      </c>
      <c r="AJ498" s="129"/>
      <c r="AK498" s="129"/>
    </row>
    <row r="499" spans="3:37" ht="14.85" customHeight="1" x14ac:dyDescent="0.15">
      <c r="C499" s="132">
        <v>44516</v>
      </c>
      <c r="D499" s="132"/>
      <c r="E499" s="132">
        <v>44517</v>
      </c>
      <c r="F499" s="132"/>
      <c r="G499" s="132"/>
      <c r="H499" s="132"/>
      <c r="I499" s="133" t="s">
        <v>665</v>
      </c>
      <c r="J499" s="133"/>
      <c r="K499" s="133"/>
      <c r="L499" s="133"/>
      <c r="M499" s="133"/>
      <c r="N499" s="134" t="s">
        <v>664</v>
      </c>
      <c r="O499" s="134"/>
      <c r="P499" s="134" t="s">
        <v>694</v>
      </c>
      <c r="Q499" s="134"/>
      <c r="R499" s="134"/>
      <c r="S499" s="134"/>
      <c r="T499" s="135">
        <v>1310434836</v>
      </c>
      <c r="U499" s="135"/>
      <c r="V499" s="136" t="s">
        <v>618</v>
      </c>
      <c r="W499" s="136"/>
      <c r="X499" s="129">
        <v>4500</v>
      </c>
      <c r="Y499" s="129"/>
      <c r="Z499" s="129">
        <v>4091</v>
      </c>
      <c r="AA499" s="129"/>
      <c r="AB499" s="129"/>
      <c r="AC499" s="129"/>
      <c r="AD499" s="129">
        <v>409</v>
      </c>
      <c r="AE499" s="129"/>
      <c r="AF499" s="129"/>
      <c r="AG499" s="129"/>
      <c r="AH499" s="129"/>
      <c r="AI499" s="129">
        <v>0</v>
      </c>
      <c r="AJ499" s="129"/>
      <c r="AK499" s="129"/>
    </row>
    <row r="500" spans="3:37" ht="14.85" customHeight="1" x14ac:dyDescent="0.15">
      <c r="C500" s="132">
        <v>44518</v>
      </c>
      <c r="D500" s="132"/>
      <c r="E500" s="132">
        <v>44520</v>
      </c>
      <c r="F500" s="132"/>
      <c r="G500" s="132"/>
      <c r="H500" s="132"/>
      <c r="I500" s="133" t="s">
        <v>665</v>
      </c>
      <c r="J500" s="133"/>
      <c r="K500" s="133"/>
      <c r="L500" s="133"/>
      <c r="M500" s="133"/>
      <c r="N500" s="134" t="s">
        <v>664</v>
      </c>
      <c r="O500" s="134"/>
      <c r="P500" s="134" t="s">
        <v>692</v>
      </c>
      <c r="Q500" s="134"/>
      <c r="R500" s="134"/>
      <c r="S500" s="134"/>
      <c r="T500" s="135">
        <v>5304900441</v>
      </c>
      <c r="U500" s="135"/>
      <c r="V500" s="136" t="s">
        <v>618</v>
      </c>
      <c r="W500" s="136"/>
      <c r="X500" s="129">
        <v>4500</v>
      </c>
      <c r="Y500" s="129"/>
      <c r="Z500" s="129">
        <v>4091</v>
      </c>
      <c r="AA500" s="129"/>
      <c r="AB500" s="129"/>
      <c r="AC500" s="129"/>
      <c r="AD500" s="129">
        <v>409</v>
      </c>
      <c r="AE500" s="129"/>
      <c r="AF500" s="129"/>
      <c r="AG500" s="129"/>
      <c r="AH500" s="129"/>
      <c r="AI500" s="129">
        <v>0</v>
      </c>
      <c r="AJ500" s="129"/>
      <c r="AK500" s="129"/>
    </row>
    <row r="501" spans="3:37" ht="14.85" customHeight="1" x14ac:dyDescent="0.15">
      <c r="C501" s="132">
        <v>44519</v>
      </c>
      <c r="D501" s="132"/>
      <c r="E501" s="132">
        <v>44520</v>
      </c>
      <c r="F501" s="132"/>
      <c r="G501" s="132"/>
      <c r="H501" s="132"/>
      <c r="I501" s="133" t="s">
        <v>621</v>
      </c>
      <c r="J501" s="133"/>
      <c r="K501" s="133"/>
      <c r="L501" s="133"/>
      <c r="M501" s="133"/>
      <c r="N501" s="134" t="s">
        <v>687</v>
      </c>
      <c r="O501" s="134"/>
      <c r="P501" s="134" t="s">
        <v>681</v>
      </c>
      <c r="Q501" s="134"/>
      <c r="R501" s="134"/>
      <c r="S501" s="134"/>
      <c r="T501" s="135">
        <v>1168119477</v>
      </c>
      <c r="U501" s="135"/>
      <c r="V501" s="136" t="s">
        <v>618</v>
      </c>
      <c r="W501" s="136"/>
      <c r="X501" s="129">
        <v>700</v>
      </c>
      <c r="Y501" s="129"/>
      <c r="Z501" s="129">
        <v>700</v>
      </c>
      <c r="AA501" s="129"/>
      <c r="AB501" s="129"/>
      <c r="AC501" s="129"/>
      <c r="AD501" s="129">
        <v>0</v>
      </c>
      <c r="AE501" s="129"/>
      <c r="AF501" s="129"/>
      <c r="AG501" s="129"/>
      <c r="AH501" s="129"/>
      <c r="AI501" s="129">
        <v>0</v>
      </c>
      <c r="AJ501" s="129"/>
      <c r="AK501" s="129"/>
    </row>
    <row r="502" spans="3:37" ht="14.85" customHeight="1" x14ac:dyDescent="0.15">
      <c r="C502" s="132">
        <v>44519</v>
      </c>
      <c r="D502" s="132"/>
      <c r="E502" s="132">
        <v>44520</v>
      </c>
      <c r="F502" s="132"/>
      <c r="G502" s="132"/>
      <c r="H502" s="132"/>
      <c r="I502" s="133" t="s">
        <v>621</v>
      </c>
      <c r="J502" s="133"/>
      <c r="K502" s="133"/>
      <c r="L502" s="133"/>
      <c r="M502" s="133"/>
      <c r="N502" s="134" t="s">
        <v>687</v>
      </c>
      <c r="O502" s="134"/>
      <c r="P502" s="134" t="s">
        <v>681</v>
      </c>
      <c r="Q502" s="134"/>
      <c r="R502" s="134"/>
      <c r="S502" s="134"/>
      <c r="T502" s="135">
        <v>1168119477</v>
      </c>
      <c r="U502" s="135"/>
      <c r="V502" s="136" t="s">
        <v>618</v>
      </c>
      <c r="W502" s="136"/>
      <c r="X502" s="129">
        <v>700</v>
      </c>
      <c r="Y502" s="129"/>
      <c r="Z502" s="129">
        <v>700</v>
      </c>
      <c r="AA502" s="129"/>
      <c r="AB502" s="129"/>
      <c r="AC502" s="129"/>
      <c r="AD502" s="129">
        <v>0</v>
      </c>
      <c r="AE502" s="129"/>
      <c r="AF502" s="129"/>
      <c r="AG502" s="129"/>
      <c r="AH502" s="129"/>
      <c r="AI502" s="129">
        <v>0</v>
      </c>
      <c r="AJ502" s="129"/>
      <c r="AK502" s="129"/>
    </row>
    <row r="503" spans="3:37" ht="29.65" customHeight="1" x14ac:dyDescent="0.15">
      <c r="V503" s="137" t="s">
        <v>617</v>
      </c>
      <c r="W503" s="137"/>
    </row>
    <row r="504" spans="3:37" ht="14.85" customHeight="1" x14ac:dyDescent="0.15">
      <c r="C504" s="132">
        <v>44520</v>
      </c>
      <c r="D504" s="132"/>
      <c r="E504" s="132">
        <v>44521</v>
      </c>
      <c r="F504" s="132"/>
      <c r="G504" s="132"/>
      <c r="H504" s="132"/>
      <c r="I504" s="133" t="s">
        <v>665</v>
      </c>
      <c r="J504" s="133"/>
      <c r="K504" s="133"/>
      <c r="L504" s="133"/>
      <c r="M504" s="133"/>
      <c r="N504" s="134" t="s">
        <v>664</v>
      </c>
      <c r="O504" s="134"/>
      <c r="P504" s="134" t="s">
        <v>694</v>
      </c>
      <c r="Q504" s="134"/>
      <c r="R504" s="134"/>
      <c r="S504" s="134"/>
      <c r="T504" s="135">
        <v>1310434836</v>
      </c>
      <c r="U504" s="135"/>
      <c r="V504" s="136" t="s">
        <v>618</v>
      </c>
      <c r="W504" s="136"/>
      <c r="X504" s="129">
        <v>4500</v>
      </c>
      <c r="Y504" s="129"/>
      <c r="Z504" s="129">
        <v>4091</v>
      </c>
      <c r="AA504" s="129"/>
      <c r="AB504" s="129"/>
      <c r="AC504" s="129"/>
      <c r="AD504" s="129">
        <v>409</v>
      </c>
      <c r="AE504" s="129"/>
      <c r="AF504" s="129"/>
      <c r="AG504" s="129"/>
      <c r="AH504" s="129"/>
      <c r="AI504" s="129">
        <v>0</v>
      </c>
      <c r="AJ504" s="129"/>
      <c r="AK504" s="129"/>
    </row>
    <row r="505" spans="3:37" ht="14.85" customHeight="1" x14ac:dyDescent="0.15">
      <c r="C505" s="132">
        <v>44524</v>
      </c>
      <c r="D505" s="132"/>
      <c r="E505" s="132">
        <v>44525</v>
      </c>
      <c r="F505" s="132"/>
      <c r="G505" s="132"/>
      <c r="H505" s="132"/>
      <c r="I505" s="133" t="s">
        <v>665</v>
      </c>
      <c r="J505" s="133"/>
      <c r="K505" s="133"/>
      <c r="L505" s="133"/>
      <c r="M505" s="133"/>
      <c r="N505" s="134" t="s">
        <v>664</v>
      </c>
      <c r="O505" s="134"/>
      <c r="P505" s="134" t="s">
        <v>709</v>
      </c>
      <c r="Q505" s="134"/>
      <c r="R505" s="134"/>
      <c r="S505" s="134"/>
      <c r="T505" s="135">
        <v>1220153065</v>
      </c>
      <c r="U505" s="135"/>
      <c r="V505" s="136" t="s">
        <v>644</v>
      </c>
      <c r="W505" s="136"/>
      <c r="X505" s="129">
        <v>14000</v>
      </c>
      <c r="Y505" s="129"/>
      <c r="Z505" s="129">
        <v>12728</v>
      </c>
      <c r="AA505" s="129"/>
      <c r="AB505" s="129"/>
      <c r="AC505" s="129"/>
      <c r="AD505" s="129">
        <v>1272</v>
      </c>
      <c r="AE505" s="129"/>
      <c r="AF505" s="129"/>
      <c r="AG505" s="129"/>
      <c r="AH505" s="129"/>
      <c r="AI505" s="129">
        <v>0</v>
      </c>
      <c r="AJ505" s="129"/>
      <c r="AK505" s="129"/>
    </row>
    <row r="506" spans="3:37" ht="14.85" customHeight="1" x14ac:dyDescent="0.15">
      <c r="C506" s="132">
        <v>44523</v>
      </c>
      <c r="D506" s="132"/>
      <c r="E506" s="132">
        <v>44525</v>
      </c>
      <c r="F506" s="132"/>
      <c r="G506" s="132"/>
      <c r="H506" s="132"/>
      <c r="I506" s="133" t="s">
        <v>665</v>
      </c>
      <c r="J506" s="133"/>
      <c r="K506" s="133"/>
      <c r="L506" s="133"/>
      <c r="M506" s="133"/>
      <c r="N506" s="134" t="s">
        <v>664</v>
      </c>
      <c r="O506" s="134"/>
      <c r="P506" s="134" t="s">
        <v>654</v>
      </c>
      <c r="Q506" s="134"/>
      <c r="R506" s="134"/>
      <c r="S506" s="134"/>
      <c r="T506" s="135">
        <v>1318517063</v>
      </c>
      <c r="U506" s="135"/>
      <c r="V506" s="136" t="s">
        <v>622</v>
      </c>
      <c r="W506" s="136"/>
      <c r="X506" s="129">
        <v>4500</v>
      </c>
      <c r="Y506" s="129"/>
      <c r="Z506" s="129">
        <v>4091</v>
      </c>
      <c r="AA506" s="129"/>
      <c r="AB506" s="129"/>
      <c r="AC506" s="129"/>
      <c r="AD506" s="129">
        <v>409</v>
      </c>
      <c r="AE506" s="129"/>
      <c r="AF506" s="129"/>
      <c r="AG506" s="129"/>
      <c r="AH506" s="129"/>
      <c r="AI506" s="129">
        <v>0</v>
      </c>
      <c r="AJ506" s="129"/>
      <c r="AK506" s="129"/>
    </row>
    <row r="507" spans="3:37" ht="14.85" customHeight="1" x14ac:dyDescent="0.15">
      <c r="C507" s="132">
        <v>44525</v>
      </c>
      <c r="D507" s="132"/>
      <c r="E507" s="132">
        <v>44526</v>
      </c>
      <c r="F507" s="132"/>
      <c r="G507" s="132"/>
      <c r="H507" s="132"/>
      <c r="I507" s="133" t="s">
        <v>665</v>
      </c>
      <c r="J507" s="133"/>
      <c r="K507" s="133"/>
      <c r="L507" s="133"/>
      <c r="M507" s="133"/>
      <c r="N507" s="134" t="s">
        <v>664</v>
      </c>
      <c r="O507" s="134"/>
      <c r="P507" s="134" t="s">
        <v>694</v>
      </c>
      <c r="Q507" s="134"/>
      <c r="R507" s="134"/>
      <c r="S507" s="134"/>
      <c r="T507" s="135">
        <v>1310434836</v>
      </c>
      <c r="U507" s="135"/>
      <c r="V507" s="136" t="s">
        <v>618</v>
      </c>
      <c r="W507" s="136"/>
      <c r="X507" s="129">
        <v>4500</v>
      </c>
      <c r="Y507" s="129"/>
      <c r="Z507" s="129">
        <v>4091</v>
      </c>
      <c r="AA507" s="129"/>
      <c r="AB507" s="129"/>
      <c r="AC507" s="129"/>
      <c r="AD507" s="129">
        <v>409</v>
      </c>
      <c r="AE507" s="129"/>
      <c r="AF507" s="129"/>
      <c r="AG507" s="129"/>
      <c r="AH507" s="129"/>
      <c r="AI507" s="129">
        <v>0</v>
      </c>
      <c r="AJ507" s="129"/>
      <c r="AK507" s="129"/>
    </row>
    <row r="508" spans="3:37" ht="14.85" customHeight="1" x14ac:dyDescent="0.15">
      <c r="C508" s="132">
        <v>44527</v>
      </c>
      <c r="D508" s="132"/>
      <c r="E508" s="132">
        <v>44528</v>
      </c>
      <c r="F508" s="132"/>
      <c r="G508" s="132"/>
      <c r="H508" s="132"/>
      <c r="I508" s="133" t="s">
        <v>665</v>
      </c>
      <c r="J508" s="133"/>
      <c r="K508" s="133"/>
      <c r="L508" s="133"/>
      <c r="M508" s="133"/>
      <c r="N508" s="134" t="s">
        <v>664</v>
      </c>
      <c r="O508" s="134"/>
      <c r="P508" s="134" t="s">
        <v>694</v>
      </c>
      <c r="Q508" s="134"/>
      <c r="R508" s="134"/>
      <c r="S508" s="134"/>
      <c r="T508" s="135">
        <v>1310434836</v>
      </c>
      <c r="U508" s="135"/>
      <c r="V508" s="136" t="s">
        <v>618</v>
      </c>
      <c r="W508" s="136"/>
      <c r="X508" s="129">
        <v>4500</v>
      </c>
      <c r="Y508" s="129"/>
      <c r="Z508" s="129">
        <v>4091</v>
      </c>
      <c r="AA508" s="129"/>
      <c r="AB508" s="129"/>
      <c r="AC508" s="129"/>
      <c r="AD508" s="129">
        <v>409</v>
      </c>
      <c r="AE508" s="129"/>
      <c r="AF508" s="129"/>
      <c r="AG508" s="129"/>
      <c r="AH508" s="129"/>
      <c r="AI508" s="129">
        <v>0</v>
      </c>
      <c r="AJ508" s="129"/>
      <c r="AK508" s="129"/>
    </row>
    <row r="509" spans="3:37" ht="14.85" customHeight="1" x14ac:dyDescent="0.15">
      <c r="C509" s="132">
        <v>44529</v>
      </c>
      <c r="D509" s="132"/>
      <c r="E509" s="132">
        <v>44530</v>
      </c>
      <c r="F509" s="132"/>
      <c r="G509" s="132"/>
      <c r="H509" s="132"/>
      <c r="I509" s="133" t="s">
        <v>665</v>
      </c>
      <c r="J509" s="133"/>
      <c r="K509" s="133"/>
      <c r="L509" s="133"/>
      <c r="M509" s="133"/>
      <c r="N509" s="134" t="s">
        <v>664</v>
      </c>
      <c r="O509" s="134"/>
      <c r="P509" s="134" t="s">
        <v>708</v>
      </c>
      <c r="Q509" s="134"/>
      <c r="R509" s="134"/>
      <c r="S509" s="134"/>
      <c r="T509" s="135">
        <v>1048183559</v>
      </c>
      <c r="U509" s="135"/>
      <c r="V509" s="136" t="s">
        <v>618</v>
      </c>
      <c r="W509" s="136"/>
      <c r="X509" s="129">
        <v>8900</v>
      </c>
      <c r="Y509" s="129"/>
      <c r="Z509" s="129">
        <v>8900</v>
      </c>
      <c r="AA509" s="129"/>
      <c r="AB509" s="129"/>
      <c r="AC509" s="129"/>
      <c r="AD509" s="129">
        <v>0</v>
      </c>
      <c r="AE509" s="129"/>
      <c r="AF509" s="129"/>
      <c r="AG509" s="129"/>
      <c r="AH509" s="129"/>
      <c r="AI509" s="129">
        <v>0</v>
      </c>
      <c r="AJ509" s="129"/>
      <c r="AK509" s="129"/>
    </row>
    <row r="510" spans="3:37" ht="14.85" customHeight="1" x14ac:dyDescent="0.15">
      <c r="C510" s="132">
        <v>44529</v>
      </c>
      <c r="D510" s="132"/>
      <c r="E510" s="132">
        <v>44530</v>
      </c>
      <c r="F510" s="132"/>
      <c r="G510" s="132"/>
      <c r="H510" s="132"/>
      <c r="I510" s="133" t="s">
        <v>665</v>
      </c>
      <c r="J510" s="133"/>
      <c r="K510" s="133"/>
      <c r="L510" s="133"/>
      <c r="M510" s="133"/>
      <c r="N510" s="134" t="s">
        <v>664</v>
      </c>
      <c r="O510" s="134"/>
      <c r="P510" s="134" t="s">
        <v>694</v>
      </c>
      <c r="Q510" s="134"/>
      <c r="R510" s="134"/>
      <c r="S510" s="134"/>
      <c r="T510" s="135">
        <v>1310434836</v>
      </c>
      <c r="U510" s="135"/>
      <c r="V510" s="136" t="s">
        <v>618</v>
      </c>
      <c r="W510" s="136"/>
      <c r="X510" s="129">
        <v>4500</v>
      </c>
      <c r="Y510" s="129"/>
      <c r="Z510" s="129">
        <v>4091</v>
      </c>
      <c r="AA510" s="129"/>
      <c r="AB510" s="129"/>
      <c r="AC510" s="129"/>
      <c r="AD510" s="129">
        <v>409</v>
      </c>
      <c r="AE510" s="129"/>
      <c r="AF510" s="129"/>
      <c r="AG510" s="129"/>
      <c r="AH510" s="129"/>
      <c r="AI510" s="129">
        <v>0</v>
      </c>
      <c r="AJ510" s="129"/>
      <c r="AK510" s="129"/>
    </row>
    <row r="511" spans="3:37" ht="14.85" customHeight="1" x14ac:dyDescent="0.15">
      <c r="C511" s="132">
        <v>44530</v>
      </c>
      <c r="D511" s="132"/>
      <c r="E511" s="132">
        <v>44531</v>
      </c>
      <c r="F511" s="132"/>
      <c r="G511" s="132"/>
      <c r="H511" s="132"/>
      <c r="I511" s="133" t="s">
        <v>665</v>
      </c>
      <c r="J511" s="133"/>
      <c r="K511" s="133"/>
      <c r="L511" s="133"/>
      <c r="M511" s="133"/>
      <c r="N511" s="134" t="s">
        <v>664</v>
      </c>
      <c r="O511" s="134"/>
      <c r="P511" s="134" t="s">
        <v>707</v>
      </c>
      <c r="Q511" s="134"/>
      <c r="R511" s="134"/>
      <c r="S511" s="134"/>
      <c r="T511" s="135">
        <v>6055703408</v>
      </c>
      <c r="U511" s="135"/>
      <c r="V511" s="136" t="s">
        <v>618</v>
      </c>
      <c r="W511" s="136"/>
      <c r="X511" s="129">
        <v>4500</v>
      </c>
      <c r="Y511" s="129"/>
      <c r="Z511" s="129">
        <v>4091</v>
      </c>
      <c r="AA511" s="129"/>
      <c r="AB511" s="129"/>
      <c r="AC511" s="129"/>
      <c r="AD511" s="129">
        <v>409</v>
      </c>
      <c r="AE511" s="129"/>
      <c r="AF511" s="129"/>
      <c r="AG511" s="129"/>
      <c r="AH511" s="129"/>
      <c r="AI511" s="129">
        <v>0</v>
      </c>
      <c r="AJ511" s="129"/>
      <c r="AK511" s="129"/>
    </row>
    <row r="512" spans="3:37" ht="14.85" customHeight="1" x14ac:dyDescent="0.15">
      <c r="C512" s="132">
        <v>44531</v>
      </c>
      <c r="D512" s="132"/>
      <c r="E512" s="132">
        <v>44532</v>
      </c>
      <c r="F512" s="132"/>
      <c r="G512" s="132"/>
      <c r="H512" s="132"/>
      <c r="I512" s="133" t="s">
        <v>665</v>
      </c>
      <c r="J512" s="133"/>
      <c r="K512" s="133"/>
      <c r="L512" s="133"/>
      <c r="M512" s="133"/>
      <c r="N512" s="134" t="s">
        <v>664</v>
      </c>
      <c r="O512" s="134"/>
      <c r="P512" s="134" t="s">
        <v>699</v>
      </c>
      <c r="Q512" s="134"/>
      <c r="R512" s="134"/>
      <c r="S512" s="134"/>
      <c r="T512" s="135">
        <v>3021040377</v>
      </c>
      <c r="U512" s="135"/>
      <c r="V512" s="136" t="s">
        <v>622</v>
      </c>
      <c r="W512" s="136"/>
      <c r="X512" s="129">
        <v>8100</v>
      </c>
      <c r="Y512" s="129"/>
      <c r="Z512" s="129">
        <v>7364</v>
      </c>
      <c r="AA512" s="129"/>
      <c r="AB512" s="129"/>
      <c r="AC512" s="129"/>
      <c r="AD512" s="129">
        <v>736</v>
      </c>
      <c r="AE512" s="129"/>
      <c r="AF512" s="129"/>
      <c r="AG512" s="129"/>
      <c r="AH512" s="129"/>
      <c r="AI512" s="129">
        <v>0</v>
      </c>
      <c r="AJ512" s="129"/>
      <c r="AK512" s="129"/>
    </row>
    <row r="513" spans="3:37" ht="14.85" customHeight="1" x14ac:dyDescent="0.15">
      <c r="C513" s="132">
        <v>44500</v>
      </c>
      <c r="D513" s="132"/>
      <c r="E513" s="132">
        <v>44533</v>
      </c>
      <c r="F513" s="132"/>
      <c r="G513" s="132"/>
      <c r="H513" s="132"/>
      <c r="I513" s="133" t="s">
        <v>621</v>
      </c>
      <c r="J513" s="133"/>
      <c r="K513" s="133"/>
      <c r="L513" s="133"/>
      <c r="M513" s="133"/>
      <c r="N513" s="134" t="s">
        <v>620</v>
      </c>
      <c r="O513" s="134"/>
      <c r="P513" s="134" t="s">
        <v>640</v>
      </c>
      <c r="Q513" s="134"/>
      <c r="R513" s="134"/>
      <c r="S513" s="134"/>
      <c r="T513" s="135">
        <v>2028148079</v>
      </c>
      <c r="U513" s="135"/>
      <c r="V513" s="136" t="s">
        <v>618</v>
      </c>
      <c r="W513" s="136"/>
      <c r="X513" s="129">
        <v>200</v>
      </c>
      <c r="Y513" s="129"/>
      <c r="Z513" s="129">
        <v>200</v>
      </c>
      <c r="AA513" s="129"/>
      <c r="AB513" s="129"/>
      <c r="AC513" s="129"/>
      <c r="AD513" s="129">
        <v>0</v>
      </c>
      <c r="AE513" s="129"/>
      <c r="AF513" s="129"/>
      <c r="AG513" s="129"/>
      <c r="AH513" s="129"/>
      <c r="AI513" s="129">
        <v>0</v>
      </c>
      <c r="AJ513" s="129"/>
      <c r="AK513" s="129"/>
    </row>
    <row r="514" spans="3:37" ht="14.85" customHeight="1" x14ac:dyDescent="0.15">
      <c r="C514" s="132">
        <v>44533</v>
      </c>
      <c r="D514" s="132"/>
      <c r="E514" s="132">
        <v>44534</v>
      </c>
      <c r="F514" s="132"/>
      <c r="G514" s="132"/>
      <c r="H514" s="132"/>
      <c r="I514" s="133" t="s">
        <v>665</v>
      </c>
      <c r="J514" s="133"/>
      <c r="K514" s="133"/>
      <c r="L514" s="133"/>
      <c r="M514" s="133"/>
      <c r="N514" s="134" t="s">
        <v>664</v>
      </c>
      <c r="O514" s="134"/>
      <c r="P514" s="134" t="s">
        <v>694</v>
      </c>
      <c r="Q514" s="134"/>
      <c r="R514" s="134"/>
      <c r="S514" s="134"/>
      <c r="T514" s="135">
        <v>1310434836</v>
      </c>
      <c r="U514" s="135"/>
      <c r="V514" s="136" t="s">
        <v>618</v>
      </c>
      <c r="W514" s="136"/>
      <c r="X514" s="129">
        <v>4500</v>
      </c>
      <c r="Y514" s="129"/>
      <c r="Z514" s="129">
        <v>4091</v>
      </c>
      <c r="AA514" s="129"/>
      <c r="AB514" s="129"/>
      <c r="AC514" s="129"/>
      <c r="AD514" s="129">
        <v>409</v>
      </c>
      <c r="AE514" s="129"/>
      <c r="AF514" s="129"/>
      <c r="AG514" s="129"/>
      <c r="AH514" s="129"/>
      <c r="AI514" s="129">
        <v>0</v>
      </c>
      <c r="AJ514" s="129"/>
      <c r="AK514" s="129"/>
    </row>
    <row r="515" spans="3:37" ht="14.85" customHeight="1" x14ac:dyDescent="0.15">
      <c r="C515" s="132">
        <v>44534</v>
      </c>
      <c r="D515" s="132"/>
      <c r="E515" s="132">
        <v>44535</v>
      </c>
      <c r="F515" s="132"/>
      <c r="G515" s="132"/>
      <c r="H515" s="132"/>
      <c r="I515" s="133" t="s">
        <v>665</v>
      </c>
      <c r="J515" s="133"/>
      <c r="K515" s="133"/>
      <c r="L515" s="133"/>
      <c r="M515" s="133"/>
      <c r="N515" s="134" t="s">
        <v>664</v>
      </c>
      <c r="O515" s="134"/>
      <c r="P515" s="134" t="s">
        <v>694</v>
      </c>
      <c r="Q515" s="134"/>
      <c r="R515" s="134"/>
      <c r="S515" s="134"/>
      <c r="T515" s="135">
        <v>1310434836</v>
      </c>
      <c r="U515" s="135"/>
      <c r="V515" s="136" t="s">
        <v>618</v>
      </c>
      <c r="W515" s="136"/>
      <c r="X515" s="129">
        <v>4500</v>
      </c>
      <c r="Y515" s="129"/>
      <c r="Z515" s="129">
        <v>4091</v>
      </c>
      <c r="AA515" s="129"/>
      <c r="AB515" s="129"/>
      <c r="AC515" s="129"/>
      <c r="AD515" s="129">
        <v>409</v>
      </c>
      <c r="AE515" s="129"/>
      <c r="AF515" s="129"/>
      <c r="AG515" s="129"/>
      <c r="AH515" s="129"/>
      <c r="AI515" s="129">
        <v>0</v>
      </c>
      <c r="AJ515" s="129"/>
      <c r="AK515" s="129"/>
    </row>
    <row r="516" spans="3:37" ht="14.85" customHeight="1" x14ac:dyDescent="0.15">
      <c r="C516" s="132">
        <v>44535</v>
      </c>
      <c r="D516" s="132"/>
      <c r="E516" s="132">
        <v>44536</v>
      </c>
      <c r="F516" s="132"/>
      <c r="G516" s="132"/>
      <c r="H516" s="132"/>
      <c r="I516" s="133" t="s">
        <v>665</v>
      </c>
      <c r="J516" s="133"/>
      <c r="K516" s="133"/>
      <c r="L516" s="133"/>
      <c r="M516" s="133"/>
      <c r="N516" s="134" t="s">
        <v>664</v>
      </c>
      <c r="O516" s="134"/>
      <c r="P516" s="134" t="s">
        <v>694</v>
      </c>
      <c r="Q516" s="134"/>
      <c r="R516" s="134"/>
      <c r="S516" s="134"/>
      <c r="T516" s="135">
        <v>1310434836</v>
      </c>
      <c r="U516" s="135"/>
      <c r="V516" s="136" t="s">
        <v>618</v>
      </c>
      <c r="W516" s="136"/>
      <c r="X516" s="129">
        <v>4500</v>
      </c>
      <c r="Y516" s="129"/>
      <c r="Z516" s="129">
        <v>4091</v>
      </c>
      <c r="AA516" s="129"/>
      <c r="AB516" s="129"/>
      <c r="AC516" s="129"/>
      <c r="AD516" s="129">
        <v>409</v>
      </c>
      <c r="AE516" s="129"/>
      <c r="AF516" s="129"/>
      <c r="AG516" s="129"/>
      <c r="AH516" s="129"/>
      <c r="AI516" s="129">
        <v>0</v>
      </c>
      <c r="AJ516" s="129"/>
      <c r="AK516" s="129"/>
    </row>
    <row r="517" spans="3:37" ht="14.85" customHeight="1" x14ac:dyDescent="0.15">
      <c r="C517" s="132">
        <v>44536</v>
      </c>
      <c r="D517" s="132"/>
      <c r="E517" s="132">
        <v>44537</v>
      </c>
      <c r="F517" s="132"/>
      <c r="G517" s="132"/>
      <c r="H517" s="132"/>
      <c r="I517" s="133" t="s">
        <v>621</v>
      </c>
      <c r="J517" s="133"/>
      <c r="K517" s="133"/>
      <c r="L517" s="133"/>
      <c r="M517" s="133"/>
      <c r="N517" s="134" t="s">
        <v>630</v>
      </c>
      <c r="O517" s="134"/>
      <c r="P517" s="134" t="s">
        <v>691</v>
      </c>
      <c r="Q517" s="134"/>
      <c r="R517" s="134"/>
      <c r="S517" s="134"/>
      <c r="T517" s="135">
        <v>1208200052</v>
      </c>
      <c r="U517" s="135"/>
      <c r="V517" s="136" t="s">
        <v>618</v>
      </c>
      <c r="W517" s="136"/>
      <c r="X517" s="129">
        <v>55810</v>
      </c>
      <c r="Y517" s="129"/>
      <c r="Z517" s="129">
        <v>55810</v>
      </c>
      <c r="AA517" s="129"/>
      <c r="AB517" s="129"/>
      <c r="AC517" s="129"/>
      <c r="AD517" s="129">
        <v>0</v>
      </c>
      <c r="AE517" s="129"/>
      <c r="AF517" s="129"/>
      <c r="AG517" s="129"/>
      <c r="AH517" s="129"/>
      <c r="AI517" s="129">
        <v>0</v>
      </c>
      <c r="AJ517" s="129"/>
      <c r="AK517" s="129"/>
    </row>
    <row r="518" spans="3:37" ht="14.85" customHeight="1" x14ac:dyDescent="0.15">
      <c r="C518" s="132">
        <v>44536</v>
      </c>
      <c r="D518" s="132"/>
      <c r="E518" s="132">
        <v>44537</v>
      </c>
      <c r="F518" s="132"/>
      <c r="G518" s="132"/>
      <c r="H518" s="132"/>
      <c r="I518" s="133" t="s">
        <v>621</v>
      </c>
      <c r="J518" s="133"/>
      <c r="K518" s="133"/>
      <c r="L518" s="133"/>
      <c r="M518" s="133"/>
      <c r="N518" s="134" t="s">
        <v>687</v>
      </c>
      <c r="O518" s="134"/>
      <c r="P518" s="134" t="s">
        <v>631</v>
      </c>
      <c r="Q518" s="134"/>
      <c r="R518" s="134"/>
      <c r="S518" s="134"/>
      <c r="T518" s="135">
        <v>1168119948</v>
      </c>
      <c r="U518" s="135"/>
      <c r="V518" s="136" t="s">
        <v>618</v>
      </c>
      <c r="W518" s="136"/>
      <c r="X518" s="129">
        <v>19440</v>
      </c>
      <c r="Y518" s="129"/>
      <c r="Z518" s="129">
        <v>17673</v>
      </c>
      <c r="AA518" s="129"/>
      <c r="AB518" s="129"/>
      <c r="AC518" s="129"/>
      <c r="AD518" s="129">
        <v>1767</v>
      </c>
      <c r="AE518" s="129"/>
      <c r="AF518" s="129"/>
      <c r="AG518" s="129"/>
      <c r="AH518" s="129"/>
      <c r="AI518" s="129">
        <v>0</v>
      </c>
      <c r="AJ518" s="129"/>
      <c r="AK518" s="129"/>
    </row>
    <row r="519" spans="3:37" ht="14.85" customHeight="1" x14ac:dyDescent="0.15">
      <c r="C519" s="132">
        <v>44537</v>
      </c>
      <c r="D519" s="132"/>
      <c r="E519" s="132">
        <v>44538</v>
      </c>
      <c r="F519" s="132"/>
      <c r="G519" s="132"/>
      <c r="H519" s="132"/>
      <c r="I519" s="133" t="s">
        <v>621</v>
      </c>
      <c r="J519" s="133"/>
      <c r="K519" s="133"/>
      <c r="L519" s="133"/>
      <c r="M519" s="133"/>
      <c r="N519" s="134" t="s">
        <v>687</v>
      </c>
      <c r="O519" s="134"/>
      <c r="P519" s="134" t="s">
        <v>627</v>
      </c>
      <c r="Q519" s="134"/>
      <c r="R519" s="134"/>
      <c r="S519" s="134"/>
      <c r="T519" s="135">
        <v>2329300384</v>
      </c>
      <c r="U519" s="135"/>
      <c r="V519" s="136" t="s">
        <v>626</v>
      </c>
      <c r="W519" s="136"/>
      <c r="X519" s="129">
        <v>10000</v>
      </c>
      <c r="Y519" s="129"/>
      <c r="Z519" s="129">
        <v>10000</v>
      </c>
      <c r="AA519" s="129"/>
      <c r="AB519" s="129"/>
      <c r="AC519" s="129"/>
      <c r="AD519" s="129">
        <v>0</v>
      </c>
      <c r="AE519" s="129"/>
      <c r="AF519" s="129"/>
      <c r="AG519" s="129"/>
      <c r="AH519" s="129"/>
      <c r="AI519" s="129">
        <v>0</v>
      </c>
      <c r="AJ519" s="129"/>
      <c r="AK519" s="129"/>
    </row>
    <row r="520" spans="3:37" ht="14.85" customHeight="1" x14ac:dyDescent="0.15">
      <c r="C520" s="132">
        <v>44537</v>
      </c>
      <c r="D520" s="132"/>
      <c r="E520" s="132">
        <v>44538</v>
      </c>
      <c r="F520" s="132"/>
      <c r="G520" s="132"/>
      <c r="H520" s="132"/>
      <c r="I520" s="133" t="s">
        <v>621</v>
      </c>
      <c r="J520" s="133"/>
      <c r="K520" s="133"/>
      <c r="L520" s="133"/>
      <c r="M520" s="133"/>
      <c r="N520" s="134" t="s">
        <v>687</v>
      </c>
      <c r="O520" s="134"/>
      <c r="P520" s="134" t="s">
        <v>694</v>
      </c>
      <c r="Q520" s="134"/>
      <c r="R520" s="134"/>
      <c r="S520" s="134"/>
      <c r="T520" s="135">
        <v>1310434836</v>
      </c>
      <c r="U520" s="135"/>
      <c r="V520" s="136" t="s">
        <v>618</v>
      </c>
      <c r="W520" s="136"/>
      <c r="X520" s="129">
        <v>4500</v>
      </c>
      <c r="Y520" s="129"/>
      <c r="Z520" s="129">
        <v>4091</v>
      </c>
      <c r="AA520" s="129"/>
      <c r="AB520" s="129"/>
      <c r="AC520" s="129"/>
      <c r="AD520" s="129">
        <v>409</v>
      </c>
      <c r="AE520" s="129"/>
      <c r="AF520" s="129"/>
      <c r="AG520" s="129"/>
      <c r="AH520" s="129"/>
      <c r="AI520" s="129">
        <v>0</v>
      </c>
      <c r="AJ520" s="129"/>
      <c r="AK520" s="129"/>
    </row>
    <row r="521" spans="3:37" ht="14.85" customHeight="1" x14ac:dyDescent="0.15">
      <c r="C521" s="132">
        <v>44538</v>
      </c>
      <c r="D521" s="132"/>
      <c r="E521" s="132">
        <v>44539</v>
      </c>
      <c r="F521" s="132"/>
      <c r="G521" s="132"/>
      <c r="H521" s="132"/>
      <c r="I521" s="133" t="s">
        <v>621</v>
      </c>
      <c r="J521" s="133"/>
      <c r="K521" s="133"/>
      <c r="L521" s="133"/>
      <c r="M521" s="133"/>
      <c r="N521" s="134" t="s">
        <v>687</v>
      </c>
      <c r="O521" s="134"/>
      <c r="P521" s="134" t="s">
        <v>700</v>
      </c>
      <c r="Q521" s="134"/>
      <c r="R521" s="134"/>
      <c r="S521" s="134"/>
      <c r="T521" s="135">
        <v>3909100110</v>
      </c>
      <c r="U521" s="135"/>
      <c r="V521" s="136" t="s">
        <v>626</v>
      </c>
      <c r="W521" s="136"/>
      <c r="X521" s="129">
        <v>21300</v>
      </c>
      <c r="Y521" s="129"/>
      <c r="Z521" s="129">
        <v>21300</v>
      </c>
      <c r="AA521" s="129"/>
      <c r="AB521" s="129"/>
      <c r="AC521" s="129"/>
      <c r="AD521" s="129">
        <v>0</v>
      </c>
      <c r="AE521" s="129"/>
      <c r="AF521" s="129"/>
      <c r="AG521" s="129"/>
      <c r="AH521" s="129"/>
      <c r="AI521" s="129">
        <v>0</v>
      </c>
      <c r="AJ521" s="129"/>
      <c r="AK521" s="129"/>
    </row>
    <row r="522" spans="3:37" ht="14.85" customHeight="1" x14ac:dyDescent="0.15">
      <c r="C522" s="132">
        <v>44538</v>
      </c>
      <c r="D522" s="132"/>
      <c r="E522" s="132">
        <v>44539</v>
      </c>
      <c r="F522" s="132"/>
      <c r="G522" s="132"/>
      <c r="H522" s="132"/>
      <c r="I522" s="133" t="s">
        <v>621</v>
      </c>
      <c r="J522" s="133"/>
      <c r="K522" s="133"/>
      <c r="L522" s="133"/>
      <c r="M522" s="133"/>
      <c r="N522" s="134" t="s">
        <v>687</v>
      </c>
      <c r="O522" s="134"/>
      <c r="P522" s="134" t="s">
        <v>627</v>
      </c>
      <c r="Q522" s="134"/>
      <c r="R522" s="134"/>
      <c r="S522" s="134"/>
      <c r="T522" s="135">
        <v>2329300384</v>
      </c>
      <c r="U522" s="135"/>
      <c r="V522" s="136" t="s">
        <v>626</v>
      </c>
      <c r="W522" s="136"/>
      <c r="X522" s="129">
        <v>236100</v>
      </c>
      <c r="Y522" s="129"/>
      <c r="Z522" s="129">
        <v>236100</v>
      </c>
      <c r="AA522" s="129"/>
      <c r="AB522" s="129"/>
      <c r="AC522" s="129"/>
      <c r="AD522" s="129">
        <v>0</v>
      </c>
      <c r="AE522" s="129"/>
      <c r="AF522" s="129"/>
      <c r="AG522" s="129"/>
      <c r="AH522" s="129"/>
      <c r="AI522" s="129">
        <v>0</v>
      </c>
      <c r="AJ522" s="129"/>
      <c r="AK522" s="129"/>
    </row>
    <row r="523" spans="3:37" ht="14.85" customHeight="1" x14ac:dyDescent="0.15">
      <c r="C523" s="132">
        <v>44538</v>
      </c>
      <c r="D523" s="132"/>
      <c r="E523" s="132">
        <v>44539</v>
      </c>
      <c r="F523" s="132"/>
      <c r="G523" s="132"/>
      <c r="H523" s="132"/>
      <c r="I523" s="133" t="s">
        <v>621</v>
      </c>
      <c r="J523" s="133"/>
      <c r="K523" s="133"/>
      <c r="L523" s="133"/>
      <c r="M523" s="133"/>
      <c r="N523" s="134" t="s">
        <v>687</v>
      </c>
      <c r="O523" s="134"/>
      <c r="P523" s="134" t="s">
        <v>706</v>
      </c>
      <c r="Q523" s="134"/>
      <c r="R523" s="134"/>
      <c r="S523" s="134"/>
      <c r="T523" s="135">
        <v>8741800099</v>
      </c>
      <c r="U523" s="135"/>
      <c r="V523" s="136" t="s">
        <v>618</v>
      </c>
      <c r="W523" s="136"/>
      <c r="X523" s="129">
        <v>9500</v>
      </c>
      <c r="Y523" s="129"/>
      <c r="Z523" s="129">
        <v>8636</v>
      </c>
      <c r="AA523" s="129"/>
      <c r="AB523" s="129"/>
      <c r="AC523" s="129"/>
      <c r="AD523" s="129">
        <v>864</v>
      </c>
      <c r="AE523" s="129"/>
      <c r="AF523" s="129"/>
      <c r="AG523" s="129"/>
      <c r="AH523" s="129"/>
      <c r="AI523" s="129">
        <v>0</v>
      </c>
      <c r="AJ523" s="129"/>
      <c r="AK523" s="129"/>
    </row>
    <row r="524" spans="3:37" ht="14.85" customHeight="1" x14ac:dyDescent="0.15">
      <c r="C524" s="132">
        <v>44538</v>
      </c>
      <c r="D524" s="132"/>
      <c r="E524" s="132">
        <v>44539</v>
      </c>
      <c r="F524" s="132"/>
      <c r="G524" s="132"/>
      <c r="H524" s="132"/>
      <c r="I524" s="133" t="s">
        <v>621</v>
      </c>
      <c r="J524" s="133"/>
      <c r="K524" s="133"/>
      <c r="L524" s="133"/>
      <c r="M524" s="133"/>
      <c r="N524" s="134" t="s">
        <v>687</v>
      </c>
      <c r="O524" s="134"/>
      <c r="P524" s="134" t="s">
        <v>705</v>
      </c>
      <c r="Q524" s="134"/>
      <c r="R524" s="134"/>
      <c r="S524" s="134"/>
      <c r="T524" s="135">
        <v>1312893995</v>
      </c>
      <c r="U524" s="135"/>
      <c r="V524" s="136" t="s">
        <v>622</v>
      </c>
      <c r="W524" s="136"/>
      <c r="X524" s="129">
        <v>4500</v>
      </c>
      <c r="Y524" s="129"/>
      <c r="Z524" s="129">
        <v>4091</v>
      </c>
      <c r="AA524" s="129"/>
      <c r="AB524" s="129"/>
      <c r="AC524" s="129"/>
      <c r="AD524" s="129">
        <v>409</v>
      </c>
      <c r="AE524" s="129"/>
      <c r="AF524" s="129"/>
      <c r="AG524" s="129"/>
      <c r="AH524" s="129"/>
      <c r="AI524" s="129">
        <v>0</v>
      </c>
      <c r="AJ524" s="129"/>
      <c r="AK524" s="129"/>
    </row>
    <row r="525" spans="3:37" ht="14.85" customHeight="1" x14ac:dyDescent="0.15">
      <c r="C525" s="132">
        <v>44543</v>
      </c>
      <c r="D525" s="132"/>
      <c r="E525" s="132">
        <v>44540</v>
      </c>
      <c r="F525" s="132"/>
      <c r="G525" s="132"/>
      <c r="H525" s="132"/>
      <c r="I525" s="133" t="s">
        <v>621</v>
      </c>
      <c r="J525" s="133"/>
      <c r="K525" s="133"/>
      <c r="L525" s="133"/>
      <c r="M525" s="133"/>
      <c r="N525" s="134" t="s">
        <v>687</v>
      </c>
      <c r="O525" s="134"/>
      <c r="P525" s="134" t="s">
        <v>636</v>
      </c>
      <c r="Q525" s="134"/>
      <c r="R525" s="134"/>
      <c r="S525" s="134"/>
      <c r="T525" s="135">
        <v>2208139938</v>
      </c>
      <c r="U525" s="135"/>
      <c r="V525" s="136" t="s">
        <v>618</v>
      </c>
      <c r="W525" s="136"/>
      <c r="X525" s="129">
        <v>8760</v>
      </c>
      <c r="Y525" s="129"/>
      <c r="Z525" s="129">
        <v>8760</v>
      </c>
      <c r="AA525" s="129"/>
      <c r="AB525" s="129"/>
      <c r="AC525" s="129"/>
      <c r="AD525" s="129">
        <v>0</v>
      </c>
      <c r="AE525" s="129"/>
      <c r="AF525" s="129"/>
      <c r="AG525" s="129"/>
      <c r="AH525" s="129"/>
      <c r="AI525" s="129">
        <v>0</v>
      </c>
      <c r="AJ525" s="129"/>
      <c r="AK525" s="129"/>
    </row>
    <row r="526" spans="3:37" ht="14.85" customHeight="1" x14ac:dyDescent="0.15">
      <c r="C526" s="132">
        <v>44539</v>
      </c>
      <c r="D526" s="132"/>
      <c r="E526" s="132">
        <v>44540</v>
      </c>
      <c r="F526" s="132"/>
      <c r="G526" s="132"/>
      <c r="H526" s="132"/>
      <c r="I526" s="133" t="s">
        <v>665</v>
      </c>
      <c r="J526" s="133"/>
      <c r="K526" s="133"/>
      <c r="L526" s="133"/>
      <c r="M526" s="133"/>
      <c r="N526" s="134" t="s">
        <v>664</v>
      </c>
      <c r="O526" s="134"/>
      <c r="P526" s="134" t="s">
        <v>700</v>
      </c>
      <c r="Q526" s="134"/>
      <c r="R526" s="134"/>
      <c r="S526" s="134"/>
      <c r="T526" s="135">
        <v>3909100110</v>
      </c>
      <c r="U526" s="135"/>
      <c r="V526" s="136" t="s">
        <v>626</v>
      </c>
      <c r="W526" s="136"/>
      <c r="X526" s="129">
        <v>206600</v>
      </c>
      <c r="Y526" s="129"/>
      <c r="Z526" s="129">
        <v>206600</v>
      </c>
      <c r="AA526" s="129"/>
      <c r="AB526" s="129"/>
      <c r="AC526" s="129"/>
      <c r="AD526" s="129">
        <v>0</v>
      </c>
      <c r="AE526" s="129"/>
      <c r="AF526" s="129"/>
      <c r="AG526" s="129"/>
      <c r="AH526" s="129"/>
      <c r="AI526" s="129">
        <v>0</v>
      </c>
      <c r="AJ526" s="129"/>
      <c r="AK526" s="129"/>
    </row>
    <row r="527" spans="3:37" ht="14.85" customHeight="1" x14ac:dyDescent="0.15">
      <c r="C527" s="132">
        <v>44539</v>
      </c>
      <c r="D527" s="132"/>
      <c r="E527" s="132">
        <v>44540</v>
      </c>
      <c r="F527" s="132"/>
      <c r="G527" s="132"/>
      <c r="H527" s="132"/>
      <c r="I527" s="133" t="s">
        <v>665</v>
      </c>
      <c r="J527" s="133"/>
      <c r="K527" s="133"/>
      <c r="L527" s="133"/>
      <c r="M527" s="133"/>
      <c r="N527" s="134" t="s">
        <v>664</v>
      </c>
      <c r="O527" s="134"/>
      <c r="P527" s="134" t="s">
        <v>704</v>
      </c>
      <c r="Q527" s="134"/>
      <c r="R527" s="134"/>
      <c r="S527" s="134"/>
      <c r="T527" s="135">
        <v>4571301199</v>
      </c>
      <c r="U527" s="135"/>
      <c r="V527" s="136" t="s">
        <v>618</v>
      </c>
      <c r="W527" s="136"/>
      <c r="X527" s="129">
        <v>3500</v>
      </c>
      <c r="Y527" s="129"/>
      <c r="Z527" s="129">
        <v>3500</v>
      </c>
      <c r="AA527" s="129"/>
      <c r="AB527" s="129"/>
      <c r="AC527" s="129"/>
      <c r="AD527" s="129">
        <v>0</v>
      </c>
      <c r="AE527" s="129"/>
      <c r="AF527" s="129"/>
      <c r="AG527" s="129"/>
      <c r="AH527" s="129"/>
      <c r="AI527" s="129">
        <v>0</v>
      </c>
      <c r="AJ527" s="129"/>
      <c r="AK527" s="129"/>
    </row>
    <row r="528" spans="3:37" ht="14.85" customHeight="1" x14ac:dyDescent="0.15">
      <c r="C528" s="132">
        <v>44540</v>
      </c>
      <c r="D528" s="132"/>
      <c r="E528" s="132">
        <v>44541</v>
      </c>
      <c r="F528" s="132"/>
      <c r="G528" s="132"/>
      <c r="H528" s="132"/>
      <c r="I528" s="133" t="s">
        <v>665</v>
      </c>
      <c r="J528" s="133"/>
      <c r="K528" s="133"/>
      <c r="L528" s="133"/>
      <c r="M528" s="133"/>
      <c r="N528" s="134" t="s">
        <v>664</v>
      </c>
      <c r="O528" s="134"/>
      <c r="P528" s="134" t="s">
        <v>694</v>
      </c>
      <c r="Q528" s="134"/>
      <c r="R528" s="134"/>
      <c r="S528" s="134"/>
      <c r="T528" s="135">
        <v>1310434836</v>
      </c>
      <c r="U528" s="135"/>
      <c r="V528" s="136" t="s">
        <v>618</v>
      </c>
      <c r="W528" s="136"/>
      <c r="X528" s="129">
        <v>4500</v>
      </c>
      <c r="Y528" s="129"/>
      <c r="Z528" s="129">
        <v>4091</v>
      </c>
      <c r="AA528" s="129"/>
      <c r="AB528" s="129"/>
      <c r="AC528" s="129"/>
      <c r="AD528" s="129">
        <v>409</v>
      </c>
      <c r="AE528" s="129"/>
      <c r="AF528" s="129"/>
      <c r="AG528" s="129"/>
      <c r="AH528" s="129"/>
      <c r="AI528" s="129">
        <v>0</v>
      </c>
      <c r="AJ528" s="129"/>
      <c r="AK528" s="129"/>
    </row>
    <row r="529" spans="3:37" ht="14.85" customHeight="1" x14ac:dyDescent="0.15">
      <c r="C529" s="132">
        <v>44541</v>
      </c>
      <c r="D529" s="132"/>
      <c r="E529" s="132">
        <v>44542</v>
      </c>
      <c r="F529" s="132"/>
      <c r="G529" s="132"/>
      <c r="H529" s="132"/>
      <c r="I529" s="133" t="s">
        <v>665</v>
      </c>
      <c r="J529" s="133"/>
      <c r="K529" s="133"/>
      <c r="L529" s="133"/>
      <c r="M529" s="133"/>
      <c r="N529" s="134" t="s">
        <v>664</v>
      </c>
      <c r="O529" s="134"/>
      <c r="P529" s="134" t="s">
        <v>703</v>
      </c>
      <c r="Q529" s="134"/>
      <c r="R529" s="134"/>
      <c r="S529" s="134"/>
      <c r="T529" s="135">
        <v>7109800119</v>
      </c>
      <c r="U529" s="135"/>
      <c r="V529" s="136" t="s">
        <v>622</v>
      </c>
      <c r="W529" s="136"/>
      <c r="X529" s="129">
        <v>5000</v>
      </c>
      <c r="Y529" s="129"/>
      <c r="Z529" s="129">
        <v>5000</v>
      </c>
      <c r="AA529" s="129"/>
      <c r="AB529" s="129"/>
      <c r="AC529" s="129"/>
      <c r="AD529" s="129">
        <v>0</v>
      </c>
      <c r="AE529" s="129"/>
      <c r="AF529" s="129"/>
      <c r="AG529" s="129"/>
      <c r="AH529" s="129"/>
      <c r="AI529" s="129">
        <v>0</v>
      </c>
      <c r="AJ529" s="129"/>
      <c r="AK529" s="129"/>
    </row>
    <row r="530" spans="3:37" ht="14.85" customHeight="1" x14ac:dyDescent="0.15">
      <c r="C530" s="132">
        <v>44542</v>
      </c>
      <c r="D530" s="132"/>
      <c r="E530" s="132">
        <v>44544</v>
      </c>
      <c r="F530" s="132"/>
      <c r="G530" s="132"/>
      <c r="H530" s="132"/>
      <c r="I530" s="133" t="s">
        <v>665</v>
      </c>
      <c r="J530" s="133"/>
      <c r="K530" s="133"/>
      <c r="L530" s="133"/>
      <c r="M530" s="133"/>
      <c r="N530" s="134" t="s">
        <v>664</v>
      </c>
      <c r="O530" s="134"/>
      <c r="P530" s="134" t="s">
        <v>702</v>
      </c>
      <c r="Q530" s="134"/>
      <c r="R530" s="134"/>
      <c r="S530" s="134"/>
      <c r="T530" s="135">
        <v>1058177410</v>
      </c>
      <c r="U530" s="135"/>
      <c r="V530" s="136" t="s">
        <v>622</v>
      </c>
      <c r="W530" s="136"/>
      <c r="X530" s="129">
        <v>800</v>
      </c>
      <c r="Y530" s="129"/>
      <c r="Z530" s="129">
        <v>800</v>
      </c>
      <c r="AA530" s="129"/>
      <c r="AB530" s="129"/>
      <c r="AC530" s="129"/>
      <c r="AD530" s="129">
        <v>0</v>
      </c>
      <c r="AE530" s="129"/>
      <c r="AF530" s="129"/>
      <c r="AG530" s="129"/>
      <c r="AH530" s="129"/>
      <c r="AI530" s="129">
        <v>0</v>
      </c>
      <c r="AJ530" s="129"/>
      <c r="AK530" s="129"/>
    </row>
    <row r="531" spans="3:37" ht="14.85" customHeight="1" x14ac:dyDescent="0.15">
      <c r="C531" s="132">
        <v>44541</v>
      </c>
      <c r="D531" s="132"/>
      <c r="E531" s="132">
        <v>44543</v>
      </c>
      <c r="F531" s="132"/>
      <c r="G531" s="132"/>
      <c r="H531" s="132"/>
      <c r="I531" s="133" t="s">
        <v>665</v>
      </c>
      <c r="J531" s="133"/>
      <c r="K531" s="133"/>
      <c r="L531" s="133"/>
      <c r="M531" s="133"/>
      <c r="N531" s="134" t="s">
        <v>664</v>
      </c>
      <c r="O531" s="134"/>
      <c r="P531" s="134" t="s">
        <v>701</v>
      </c>
      <c r="Q531" s="134"/>
      <c r="R531" s="134"/>
      <c r="S531" s="134"/>
      <c r="T531" s="135">
        <v>6471100386</v>
      </c>
      <c r="U531" s="135"/>
      <c r="V531" s="136" t="s">
        <v>618</v>
      </c>
      <c r="W531" s="136"/>
      <c r="X531" s="129">
        <v>4500</v>
      </c>
      <c r="Y531" s="129"/>
      <c r="Z531" s="129">
        <v>4091</v>
      </c>
      <c r="AA531" s="129"/>
      <c r="AB531" s="129"/>
      <c r="AC531" s="129"/>
      <c r="AD531" s="129">
        <v>409</v>
      </c>
      <c r="AE531" s="129"/>
      <c r="AF531" s="129"/>
      <c r="AG531" s="129"/>
      <c r="AH531" s="129"/>
      <c r="AI531" s="129">
        <v>0</v>
      </c>
      <c r="AJ531" s="129"/>
      <c r="AK531" s="129"/>
    </row>
    <row r="532" spans="3:37" ht="14.85" customHeight="1" x14ac:dyDescent="0.15">
      <c r="C532" s="132">
        <v>44543</v>
      </c>
      <c r="D532" s="132"/>
      <c r="E532" s="132">
        <v>44544</v>
      </c>
      <c r="F532" s="132"/>
      <c r="G532" s="132"/>
      <c r="H532" s="132"/>
      <c r="I532" s="133" t="s">
        <v>665</v>
      </c>
      <c r="J532" s="133"/>
      <c r="K532" s="133"/>
      <c r="L532" s="133"/>
      <c r="M532" s="133"/>
      <c r="N532" s="134" t="s">
        <v>664</v>
      </c>
      <c r="O532" s="134"/>
      <c r="P532" s="134" t="s">
        <v>700</v>
      </c>
      <c r="Q532" s="134"/>
      <c r="R532" s="134"/>
      <c r="S532" s="134"/>
      <c r="T532" s="135">
        <v>3909100110</v>
      </c>
      <c r="U532" s="135"/>
      <c r="V532" s="136" t="s">
        <v>626</v>
      </c>
      <c r="W532" s="136"/>
      <c r="X532" s="129">
        <v>3400</v>
      </c>
      <c r="Y532" s="129"/>
      <c r="Z532" s="129">
        <v>3400</v>
      </c>
      <c r="AA532" s="129"/>
      <c r="AB532" s="129"/>
      <c r="AC532" s="129"/>
      <c r="AD532" s="129">
        <v>0</v>
      </c>
      <c r="AE532" s="129"/>
      <c r="AF532" s="129"/>
      <c r="AG532" s="129"/>
      <c r="AH532" s="129"/>
      <c r="AI532" s="129">
        <v>0</v>
      </c>
      <c r="AJ532" s="129"/>
      <c r="AK532" s="129"/>
    </row>
    <row r="533" spans="3:37" ht="14.85" customHeight="1" x14ac:dyDescent="0.15">
      <c r="C533" s="132">
        <v>44544</v>
      </c>
      <c r="D533" s="132"/>
      <c r="E533" s="132">
        <v>44545</v>
      </c>
      <c r="F533" s="132"/>
      <c r="G533" s="132"/>
      <c r="H533" s="132"/>
      <c r="I533" s="133" t="s">
        <v>665</v>
      </c>
      <c r="J533" s="133"/>
      <c r="K533" s="133"/>
      <c r="L533" s="133"/>
      <c r="M533" s="133"/>
      <c r="N533" s="134" t="s">
        <v>664</v>
      </c>
      <c r="O533" s="134"/>
      <c r="P533" s="134" t="s">
        <v>627</v>
      </c>
      <c r="Q533" s="134"/>
      <c r="R533" s="134"/>
      <c r="S533" s="134"/>
      <c r="T533" s="135">
        <v>2329300384</v>
      </c>
      <c r="U533" s="135"/>
      <c r="V533" s="136" t="s">
        <v>626</v>
      </c>
      <c r="W533" s="136"/>
      <c r="X533" s="129">
        <v>4400</v>
      </c>
      <c r="Y533" s="129"/>
      <c r="Z533" s="129">
        <v>4400</v>
      </c>
      <c r="AA533" s="129"/>
      <c r="AB533" s="129"/>
      <c r="AC533" s="129"/>
      <c r="AD533" s="129">
        <v>0</v>
      </c>
      <c r="AE533" s="129"/>
      <c r="AF533" s="129"/>
      <c r="AG533" s="129"/>
      <c r="AH533" s="129"/>
      <c r="AI533" s="129">
        <v>0</v>
      </c>
      <c r="AJ533" s="129"/>
      <c r="AK533" s="129"/>
    </row>
    <row r="534" spans="3:37" ht="14.85" customHeight="1" x14ac:dyDescent="0.15">
      <c r="C534" s="132">
        <v>44544</v>
      </c>
      <c r="D534" s="132"/>
      <c r="E534" s="132">
        <v>44545</v>
      </c>
      <c r="F534" s="132"/>
      <c r="G534" s="132"/>
      <c r="H534" s="132"/>
      <c r="I534" s="133" t="s">
        <v>665</v>
      </c>
      <c r="J534" s="133"/>
      <c r="K534" s="133"/>
      <c r="L534" s="133"/>
      <c r="M534" s="133"/>
      <c r="N534" s="134" t="s">
        <v>664</v>
      </c>
      <c r="O534" s="134"/>
      <c r="P534" s="134" t="s">
        <v>625</v>
      </c>
      <c r="Q534" s="134"/>
      <c r="R534" s="134"/>
      <c r="S534" s="134"/>
      <c r="T534" s="135">
        <v>6073354644</v>
      </c>
      <c r="U534" s="135"/>
      <c r="V534" s="136" t="s">
        <v>618</v>
      </c>
      <c r="W534" s="136"/>
      <c r="X534" s="129">
        <v>32300</v>
      </c>
      <c r="Y534" s="129"/>
      <c r="Z534" s="129">
        <v>32300</v>
      </c>
      <c r="AA534" s="129"/>
      <c r="AB534" s="129"/>
      <c r="AC534" s="129"/>
      <c r="AD534" s="129">
        <v>0</v>
      </c>
      <c r="AE534" s="129"/>
      <c r="AF534" s="129"/>
      <c r="AG534" s="129"/>
      <c r="AH534" s="129"/>
      <c r="AI534" s="129">
        <v>0</v>
      </c>
      <c r="AJ534" s="129"/>
      <c r="AK534" s="129"/>
    </row>
    <row r="535" spans="3:37" ht="14.85" customHeight="1" x14ac:dyDescent="0.15">
      <c r="C535" s="132">
        <v>44544</v>
      </c>
      <c r="D535" s="132"/>
      <c r="E535" s="132">
        <v>44545</v>
      </c>
      <c r="F535" s="132"/>
      <c r="G535" s="132"/>
      <c r="H535" s="132"/>
      <c r="I535" s="133" t="s">
        <v>665</v>
      </c>
      <c r="J535" s="133"/>
      <c r="K535" s="133"/>
      <c r="L535" s="133"/>
      <c r="M535" s="133"/>
      <c r="N535" s="134" t="s">
        <v>664</v>
      </c>
      <c r="O535" s="134"/>
      <c r="P535" s="134" t="s">
        <v>699</v>
      </c>
      <c r="Q535" s="134"/>
      <c r="R535" s="134"/>
      <c r="S535" s="134"/>
      <c r="T535" s="135">
        <v>3021040377</v>
      </c>
      <c r="U535" s="135"/>
      <c r="V535" s="136" t="s">
        <v>622</v>
      </c>
      <c r="W535" s="136"/>
      <c r="X535" s="129">
        <v>4500</v>
      </c>
      <c r="Y535" s="129"/>
      <c r="Z535" s="129">
        <v>4091</v>
      </c>
      <c r="AA535" s="129"/>
      <c r="AB535" s="129"/>
      <c r="AC535" s="129"/>
      <c r="AD535" s="129">
        <v>409</v>
      </c>
      <c r="AE535" s="129"/>
      <c r="AF535" s="129"/>
      <c r="AG535" s="129"/>
      <c r="AH535" s="129"/>
      <c r="AI535" s="129">
        <v>0</v>
      </c>
      <c r="AJ535" s="129"/>
      <c r="AK535" s="129"/>
    </row>
    <row r="536" spans="3:37" ht="14.85" customHeight="1" x14ac:dyDescent="0.15">
      <c r="C536" s="132">
        <v>44543</v>
      </c>
      <c r="D536" s="132"/>
      <c r="E536" s="132">
        <v>44545</v>
      </c>
      <c r="F536" s="132"/>
      <c r="G536" s="132"/>
      <c r="H536" s="132"/>
      <c r="I536" s="133" t="s">
        <v>665</v>
      </c>
      <c r="J536" s="133"/>
      <c r="K536" s="133"/>
      <c r="L536" s="133"/>
      <c r="M536" s="133"/>
      <c r="N536" s="134" t="s">
        <v>664</v>
      </c>
      <c r="O536" s="134"/>
      <c r="P536" s="134" t="s">
        <v>698</v>
      </c>
      <c r="Q536" s="134"/>
      <c r="R536" s="134"/>
      <c r="S536" s="134"/>
      <c r="T536" s="135">
        <v>5452000442</v>
      </c>
      <c r="U536" s="135"/>
      <c r="V536" s="136" t="s">
        <v>622</v>
      </c>
      <c r="W536" s="136"/>
      <c r="X536" s="129">
        <v>4500</v>
      </c>
      <c r="Y536" s="129"/>
      <c r="Z536" s="129">
        <v>4091</v>
      </c>
      <c r="AA536" s="129"/>
      <c r="AB536" s="129"/>
      <c r="AC536" s="129"/>
      <c r="AD536" s="129">
        <v>409</v>
      </c>
      <c r="AE536" s="129"/>
      <c r="AF536" s="129"/>
      <c r="AG536" s="129"/>
      <c r="AH536" s="129"/>
      <c r="AI536" s="129">
        <v>0</v>
      </c>
      <c r="AJ536" s="129"/>
      <c r="AK536" s="129"/>
    </row>
    <row r="537" spans="3:37" ht="14.85" customHeight="1" x14ac:dyDescent="0.15">
      <c r="C537" s="132">
        <v>44545</v>
      </c>
      <c r="D537" s="132"/>
      <c r="E537" s="132">
        <v>44547</v>
      </c>
      <c r="F537" s="132"/>
      <c r="G537" s="132"/>
      <c r="H537" s="132"/>
      <c r="I537" s="133" t="s">
        <v>665</v>
      </c>
      <c r="J537" s="133"/>
      <c r="K537" s="133"/>
      <c r="L537" s="133"/>
      <c r="M537" s="133"/>
      <c r="N537" s="134" t="s">
        <v>664</v>
      </c>
      <c r="O537" s="134"/>
      <c r="P537" s="134" t="s">
        <v>692</v>
      </c>
      <c r="Q537" s="134"/>
      <c r="R537" s="134"/>
      <c r="S537" s="134"/>
      <c r="T537" s="135">
        <v>5304900441</v>
      </c>
      <c r="U537" s="135"/>
      <c r="V537" s="136" t="s">
        <v>618</v>
      </c>
      <c r="W537" s="136"/>
      <c r="X537" s="129">
        <v>4500</v>
      </c>
      <c r="Y537" s="129"/>
      <c r="Z537" s="129">
        <v>4091</v>
      </c>
      <c r="AA537" s="129"/>
      <c r="AB537" s="129"/>
      <c r="AC537" s="129"/>
      <c r="AD537" s="129">
        <v>409</v>
      </c>
      <c r="AE537" s="129"/>
      <c r="AF537" s="129"/>
      <c r="AG537" s="129"/>
      <c r="AH537" s="129"/>
      <c r="AI537" s="129">
        <v>0</v>
      </c>
      <c r="AJ537" s="129"/>
      <c r="AK537" s="129"/>
    </row>
    <row r="538" spans="3:37" ht="14.85" customHeight="1" x14ac:dyDescent="0.15">
      <c r="C538" s="132">
        <v>44547</v>
      </c>
      <c r="D538" s="132"/>
      <c r="E538" s="132">
        <v>44548</v>
      </c>
      <c r="F538" s="132"/>
      <c r="G538" s="132"/>
      <c r="H538" s="132"/>
      <c r="I538" s="133" t="s">
        <v>665</v>
      </c>
      <c r="J538" s="133"/>
      <c r="K538" s="133"/>
      <c r="L538" s="133"/>
      <c r="M538" s="133"/>
      <c r="N538" s="134" t="s">
        <v>664</v>
      </c>
      <c r="O538" s="134"/>
      <c r="P538" s="134" t="s">
        <v>694</v>
      </c>
      <c r="Q538" s="134"/>
      <c r="R538" s="134"/>
      <c r="S538" s="134"/>
      <c r="T538" s="135">
        <v>1310434836</v>
      </c>
      <c r="U538" s="135"/>
      <c r="V538" s="136" t="s">
        <v>618</v>
      </c>
      <c r="W538" s="136"/>
      <c r="X538" s="129">
        <v>4500</v>
      </c>
      <c r="Y538" s="129"/>
      <c r="Z538" s="129">
        <v>4091</v>
      </c>
      <c r="AA538" s="129"/>
      <c r="AB538" s="129"/>
      <c r="AC538" s="129"/>
      <c r="AD538" s="129">
        <v>409</v>
      </c>
      <c r="AE538" s="129"/>
      <c r="AF538" s="129"/>
      <c r="AG538" s="129"/>
      <c r="AH538" s="129"/>
      <c r="AI538" s="129">
        <v>0</v>
      </c>
      <c r="AJ538" s="129"/>
      <c r="AK538" s="129"/>
    </row>
    <row r="539" spans="3:37" ht="14.85" customHeight="1" x14ac:dyDescent="0.15">
      <c r="C539" s="132">
        <v>44548</v>
      </c>
      <c r="D539" s="132"/>
      <c r="E539" s="132">
        <v>44549</v>
      </c>
      <c r="F539" s="132"/>
      <c r="G539" s="132"/>
      <c r="H539" s="132"/>
      <c r="I539" s="133" t="s">
        <v>665</v>
      </c>
      <c r="J539" s="133"/>
      <c r="K539" s="133"/>
      <c r="L539" s="133"/>
      <c r="M539" s="133"/>
      <c r="N539" s="134" t="s">
        <v>664</v>
      </c>
      <c r="O539" s="134"/>
      <c r="P539" s="134" t="s">
        <v>694</v>
      </c>
      <c r="Q539" s="134"/>
      <c r="R539" s="134"/>
      <c r="S539" s="134"/>
      <c r="T539" s="135">
        <v>1310434836</v>
      </c>
      <c r="U539" s="135"/>
      <c r="V539" s="136" t="s">
        <v>618</v>
      </c>
      <c r="W539" s="136"/>
      <c r="X539" s="129">
        <v>4500</v>
      </c>
      <c r="Y539" s="129"/>
      <c r="Z539" s="129">
        <v>4091</v>
      </c>
      <c r="AA539" s="129"/>
      <c r="AB539" s="129"/>
      <c r="AC539" s="129"/>
      <c r="AD539" s="129">
        <v>409</v>
      </c>
      <c r="AE539" s="129"/>
      <c r="AF539" s="129"/>
      <c r="AG539" s="129"/>
      <c r="AH539" s="129"/>
      <c r="AI539" s="129">
        <v>0</v>
      </c>
      <c r="AJ539" s="129"/>
      <c r="AK539" s="129"/>
    </row>
    <row r="540" spans="3:37" ht="14.85" customHeight="1" x14ac:dyDescent="0.15">
      <c r="C540" s="132">
        <v>44549</v>
      </c>
      <c r="D540" s="132"/>
      <c r="E540" s="132">
        <v>44550</v>
      </c>
      <c r="F540" s="132"/>
      <c r="G540" s="132"/>
      <c r="H540" s="132"/>
      <c r="I540" s="133" t="s">
        <v>665</v>
      </c>
      <c r="J540" s="133"/>
      <c r="K540" s="133"/>
      <c r="L540" s="133"/>
      <c r="M540" s="133"/>
      <c r="N540" s="134" t="s">
        <v>664</v>
      </c>
      <c r="O540" s="134"/>
      <c r="P540" s="134" t="s">
        <v>697</v>
      </c>
      <c r="Q540" s="134"/>
      <c r="R540" s="134"/>
      <c r="S540" s="134"/>
      <c r="T540" s="135">
        <v>5990701264</v>
      </c>
      <c r="U540" s="135"/>
      <c r="V540" s="136" t="s">
        <v>622</v>
      </c>
      <c r="W540" s="136"/>
      <c r="X540" s="129">
        <v>13200</v>
      </c>
      <c r="Y540" s="129"/>
      <c r="Z540" s="129">
        <v>12000</v>
      </c>
      <c r="AA540" s="129"/>
      <c r="AB540" s="129"/>
      <c r="AC540" s="129"/>
      <c r="AD540" s="129">
        <v>1200</v>
      </c>
      <c r="AE540" s="129"/>
      <c r="AF540" s="129"/>
      <c r="AG540" s="129"/>
      <c r="AH540" s="129"/>
      <c r="AI540" s="129">
        <v>0</v>
      </c>
      <c r="AJ540" s="129"/>
      <c r="AK540" s="129"/>
    </row>
    <row r="541" spans="3:37" ht="14.85" customHeight="1" x14ac:dyDescent="0.15">
      <c r="C541" s="132">
        <v>44550</v>
      </c>
      <c r="D541" s="132"/>
      <c r="E541" s="132">
        <v>44551</v>
      </c>
      <c r="F541" s="132"/>
      <c r="G541" s="132"/>
      <c r="H541" s="132"/>
      <c r="I541" s="133" t="s">
        <v>665</v>
      </c>
      <c r="J541" s="133"/>
      <c r="K541" s="133"/>
      <c r="L541" s="133"/>
      <c r="M541" s="133"/>
      <c r="N541" s="134" t="s">
        <v>664</v>
      </c>
      <c r="O541" s="134"/>
      <c r="P541" s="134" t="s">
        <v>694</v>
      </c>
      <c r="Q541" s="134"/>
      <c r="R541" s="134"/>
      <c r="S541" s="134"/>
      <c r="T541" s="135">
        <v>1310434836</v>
      </c>
      <c r="U541" s="135"/>
      <c r="V541" s="136" t="s">
        <v>618</v>
      </c>
      <c r="W541" s="136"/>
      <c r="X541" s="129">
        <v>4500</v>
      </c>
      <c r="Y541" s="129"/>
      <c r="Z541" s="129">
        <v>4091</v>
      </c>
      <c r="AA541" s="129"/>
      <c r="AB541" s="129"/>
      <c r="AC541" s="129"/>
      <c r="AD541" s="129">
        <v>409</v>
      </c>
      <c r="AE541" s="129"/>
      <c r="AF541" s="129"/>
      <c r="AG541" s="129"/>
      <c r="AH541" s="129"/>
      <c r="AI541" s="129">
        <v>0</v>
      </c>
      <c r="AJ541" s="129"/>
      <c r="AK541" s="129"/>
    </row>
    <row r="542" spans="3:37" ht="14.85" customHeight="1" x14ac:dyDescent="0.15">
      <c r="C542" s="132">
        <v>44551</v>
      </c>
      <c r="D542" s="132"/>
      <c r="E542" s="132">
        <v>44552</v>
      </c>
      <c r="F542" s="132"/>
      <c r="G542" s="132"/>
      <c r="H542" s="132"/>
      <c r="I542" s="133" t="s">
        <v>665</v>
      </c>
      <c r="J542" s="133"/>
      <c r="K542" s="133"/>
      <c r="L542" s="133"/>
      <c r="M542" s="133"/>
      <c r="N542" s="134" t="s">
        <v>664</v>
      </c>
      <c r="O542" s="134"/>
      <c r="P542" s="134" t="s">
        <v>681</v>
      </c>
      <c r="Q542" s="134"/>
      <c r="R542" s="134"/>
      <c r="S542" s="134"/>
      <c r="T542" s="135">
        <v>1168119477</v>
      </c>
      <c r="U542" s="135"/>
      <c r="V542" s="136" t="s">
        <v>618</v>
      </c>
      <c r="W542" s="136"/>
      <c r="X542" s="129">
        <v>700</v>
      </c>
      <c r="Y542" s="129"/>
      <c r="Z542" s="129">
        <v>700</v>
      </c>
      <c r="AA542" s="129"/>
      <c r="AB542" s="129"/>
      <c r="AC542" s="129"/>
      <c r="AD542" s="129">
        <v>0</v>
      </c>
      <c r="AE542" s="129"/>
      <c r="AF542" s="129"/>
      <c r="AG542" s="129"/>
      <c r="AH542" s="129"/>
      <c r="AI542" s="129">
        <v>0</v>
      </c>
      <c r="AJ542" s="129"/>
      <c r="AK542" s="129"/>
    </row>
    <row r="543" spans="3:37" ht="14.85" customHeight="1" x14ac:dyDescent="0.15">
      <c r="C543" s="132">
        <v>44551</v>
      </c>
      <c r="D543" s="132"/>
      <c r="E543" s="132">
        <v>44552</v>
      </c>
      <c r="F543" s="132"/>
      <c r="G543" s="132"/>
      <c r="H543" s="132"/>
      <c r="I543" s="133" t="s">
        <v>665</v>
      </c>
      <c r="J543" s="133"/>
      <c r="K543" s="133"/>
      <c r="L543" s="133"/>
      <c r="M543" s="133"/>
      <c r="N543" s="134" t="s">
        <v>664</v>
      </c>
      <c r="O543" s="134"/>
      <c r="P543" s="134" t="s">
        <v>694</v>
      </c>
      <c r="Q543" s="134"/>
      <c r="R543" s="134"/>
      <c r="S543" s="134"/>
      <c r="T543" s="135">
        <v>1310434836</v>
      </c>
      <c r="U543" s="135"/>
      <c r="V543" s="136" t="s">
        <v>618</v>
      </c>
      <c r="W543" s="136"/>
      <c r="X543" s="129">
        <v>4500</v>
      </c>
      <c r="Y543" s="129"/>
      <c r="Z543" s="129">
        <v>4091</v>
      </c>
      <c r="AA543" s="129"/>
      <c r="AB543" s="129"/>
      <c r="AC543" s="129"/>
      <c r="AD543" s="129">
        <v>409</v>
      </c>
      <c r="AE543" s="129"/>
      <c r="AF543" s="129"/>
      <c r="AG543" s="129"/>
      <c r="AH543" s="129"/>
      <c r="AI543" s="129">
        <v>0</v>
      </c>
      <c r="AJ543" s="129"/>
      <c r="AK543" s="129"/>
    </row>
    <row r="544" spans="3:37" ht="29.65" customHeight="1" x14ac:dyDescent="0.15">
      <c r="V544" s="137" t="s">
        <v>617</v>
      </c>
      <c r="W544" s="137"/>
    </row>
    <row r="545" spans="3:37" ht="14.85" customHeight="1" x14ac:dyDescent="0.15">
      <c r="C545" s="132">
        <v>44552</v>
      </c>
      <c r="D545" s="132"/>
      <c r="E545" s="132">
        <v>44554</v>
      </c>
      <c r="F545" s="132"/>
      <c r="G545" s="132"/>
      <c r="H545" s="132"/>
      <c r="I545" s="133" t="s">
        <v>665</v>
      </c>
      <c r="J545" s="133"/>
      <c r="K545" s="133"/>
      <c r="L545" s="133"/>
      <c r="M545" s="133"/>
      <c r="N545" s="134" t="s">
        <v>664</v>
      </c>
      <c r="O545" s="134"/>
      <c r="P545" s="134" t="s">
        <v>696</v>
      </c>
      <c r="Q545" s="134"/>
      <c r="R545" s="134"/>
      <c r="S545" s="134"/>
      <c r="T545" s="135">
        <v>1058177410</v>
      </c>
      <c r="U545" s="135"/>
      <c r="V545" s="136" t="s">
        <v>622</v>
      </c>
      <c r="W545" s="136"/>
      <c r="X545" s="129">
        <v>800</v>
      </c>
      <c r="Y545" s="129"/>
      <c r="Z545" s="129">
        <v>800</v>
      </c>
      <c r="AA545" s="129"/>
      <c r="AB545" s="129"/>
      <c r="AC545" s="129"/>
      <c r="AD545" s="129">
        <v>0</v>
      </c>
      <c r="AE545" s="129"/>
      <c r="AF545" s="129"/>
      <c r="AG545" s="129"/>
      <c r="AH545" s="129"/>
      <c r="AI545" s="129">
        <v>0</v>
      </c>
      <c r="AJ545" s="129"/>
      <c r="AK545" s="129"/>
    </row>
    <row r="546" spans="3:37" ht="14.85" customHeight="1" x14ac:dyDescent="0.15">
      <c r="C546" s="132">
        <v>44552</v>
      </c>
      <c r="D546" s="132"/>
      <c r="E546" s="132">
        <v>44553</v>
      </c>
      <c r="F546" s="132"/>
      <c r="G546" s="132"/>
      <c r="H546" s="132"/>
      <c r="I546" s="133" t="s">
        <v>665</v>
      </c>
      <c r="J546" s="133"/>
      <c r="K546" s="133"/>
      <c r="L546" s="133"/>
      <c r="M546" s="133"/>
      <c r="N546" s="134" t="s">
        <v>664</v>
      </c>
      <c r="O546" s="134"/>
      <c r="P546" s="134" t="s">
        <v>695</v>
      </c>
      <c r="Q546" s="134"/>
      <c r="R546" s="134"/>
      <c r="S546" s="134"/>
      <c r="T546" s="135">
        <v>2374600783</v>
      </c>
      <c r="U546" s="135"/>
      <c r="V546" s="136" t="s">
        <v>622</v>
      </c>
      <c r="W546" s="136"/>
      <c r="X546" s="129">
        <v>5000</v>
      </c>
      <c r="Y546" s="129"/>
      <c r="Z546" s="129">
        <v>4546</v>
      </c>
      <c r="AA546" s="129"/>
      <c r="AB546" s="129"/>
      <c r="AC546" s="129"/>
      <c r="AD546" s="129">
        <v>454</v>
      </c>
      <c r="AE546" s="129"/>
      <c r="AF546" s="129"/>
      <c r="AG546" s="129"/>
      <c r="AH546" s="129"/>
      <c r="AI546" s="129">
        <v>0</v>
      </c>
      <c r="AJ546" s="129"/>
      <c r="AK546" s="129"/>
    </row>
    <row r="547" spans="3:37" ht="14.85" customHeight="1" x14ac:dyDescent="0.15">
      <c r="C547" s="132">
        <v>44552</v>
      </c>
      <c r="D547" s="132"/>
      <c r="E547" s="132">
        <v>44553</v>
      </c>
      <c r="F547" s="132"/>
      <c r="G547" s="132"/>
      <c r="H547" s="132"/>
      <c r="I547" s="133" t="s">
        <v>665</v>
      </c>
      <c r="J547" s="133"/>
      <c r="K547" s="133"/>
      <c r="L547" s="133"/>
      <c r="M547" s="133"/>
      <c r="N547" s="134" t="s">
        <v>664</v>
      </c>
      <c r="O547" s="134"/>
      <c r="P547" s="134" t="s">
        <v>694</v>
      </c>
      <c r="Q547" s="134"/>
      <c r="R547" s="134"/>
      <c r="S547" s="134"/>
      <c r="T547" s="135">
        <v>1310434836</v>
      </c>
      <c r="U547" s="135"/>
      <c r="V547" s="136" t="s">
        <v>618</v>
      </c>
      <c r="W547" s="136"/>
      <c r="X547" s="129">
        <v>4500</v>
      </c>
      <c r="Y547" s="129"/>
      <c r="Z547" s="129">
        <v>4091</v>
      </c>
      <c r="AA547" s="129"/>
      <c r="AB547" s="129"/>
      <c r="AC547" s="129"/>
      <c r="AD547" s="129">
        <v>409</v>
      </c>
      <c r="AE547" s="129"/>
      <c r="AF547" s="129"/>
      <c r="AG547" s="129"/>
      <c r="AH547" s="129"/>
      <c r="AI547" s="129">
        <v>0</v>
      </c>
      <c r="AJ547" s="129"/>
      <c r="AK547" s="129"/>
    </row>
    <row r="548" spans="3:37" ht="14.85" customHeight="1" x14ac:dyDescent="0.15">
      <c r="C548" s="132">
        <v>44553</v>
      </c>
      <c r="D548" s="132"/>
      <c r="E548" s="132">
        <v>44554</v>
      </c>
      <c r="F548" s="132"/>
      <c r="G548" s="132"/>
      <c r="H548" s="132"/>
      <c r="I548" s="133" t="s">
        <v>665</v>
      </c>
      <c r="J548" s="133"/>
      <c r="K548" s="133"/>
      <c r="L548" s="133"/>
      <c r="M548" s="133"/>
      <c r="N548" s="134" t="s">
        <v>664</v>
      </c>
      <c r="O548" s="134"/>
      <c r="P548" s="134" t="s">
        <v>694</v>
      </c>
      <c r="Q548" s="134"/>
      <c r="R548" s="134"/>
      <c r="S548" s="134"/>
      <c r="T548" s="135">
        <v>1310434836</v>
      </c>
      <c r="U548" s="135"/>
      <c r="V548" s="136" t="s">
        <v>618</v>
      </c>
      <c r="W548" s="136"/>
      <c r="X548" s="129">
        <v>4500</v>
      </c>
      <c r="Y548" s="129"/>
      <c r="Z548" s="129">
        <v>4091</v>
      </c>
      <c r="AA548" s="129"/>
      <c r="AB548" s="129"/>
      <c r="AC548" s="129"/>
      <c r="AD548" s="129">
        <v>409</v>
      </c>
      <c r="AE548" s="129"/>
      <c r="AF548" s="129"/>
      <c r="AG548" s="129"/>
      <c r="AH548" s="129"/>
      <c r="AI548" s="129">
        <v>0</v>
      </c>
      <c r="AJ548" s="129"/>
      <c r="AK548" s="129"/>
    </row>
    <row r="549" spans="3:37" ht="14.85" customHeight="1" x14ac:dyDescent="0.15">
      <c r="C549" s="132">
        <v>44558</v>
      </c>
      <c r="D549" s="132"/>
      <c r="E549" s="132">
        <v>44559</v>
      </c>
      <c r="F549" s="132"/>
      <c r="G549" s="132"/>
      <c r="H549" s="132"/>
      <c r="I549" s="133" t="s">
        <v>665</v>
      </c>
      <c r="J549" s="133"/>
      <c r="K549" s="133"/>
      <c r="L549" s="133"/>
      <c r="M549" s="133"/>
      <c r="N549" s="134" t="s">
        <v>664</v>
      </c>
      <c r="O549" s="134"/>
      <c r="P549" s="134" t="s">
        <v>634</v>
      </c>
      <c r="Q549" s="134"/>
      <c r="R549" s="134"/>
      <c r="S549" s="134"/>
      <c r="T549" s="135">
        <v>1298638970</v>
      </c>
      <c r="U549" s="135"/>
      <c r="V549" s="136" t="s">
        <v>618</v>
      </c>
      <c r="W549" s="136"/>
      <c r="X549" s="129">
        <v>9400</v>
      </c>
      <c r="Y549" s="129"/>
      <c r="Z549" s="129">
        <v>9400</v>
      </c>
      <c r="AA549" s="129"/>
      <c r="AB549" s="129"/>
      <c r="AC549" s="129"/>
      <c r="AD549" s="129">
        <v>0</v>
      </c>
      <c r="AE549" s="129"/>
      <c r="AF549" s="129"/>
      <c r="AG549" s="129"/>
      <c r="AH549" s="129"/>
      <c r="AI549" s="129">
        <v>0</v>
      </c>
      <c r="AJ549" s="129"/>
      <c r="AK549" s="129"/>
    </row>
    <row r="550" spans="3:37" ht="14.85" customHeight="1" x14ac:dyDescent="0.15">
      <c r="C550" s="132">
        <v>44559</v>
      </c>
      <c r="D550" s="132"/>
      <c r="E550" s="132">
        <v>44560</v>
      </c>
      <c r="F550" s="132"/>
      <c r="G550" s="132"/>
      <c r="H550" s="132"/>
      <c r="I550" s="133" t="s">
        <v>665</v>
      </c>
      <c r="J550" s="133"/>
      <c r="K550" s="133"/>
      <c r="L550" s="133"/>
      <c r="M550" s="133"/>
      <c r="N550" s="134" t="s">
        <v>664</v>
      </c>
      <c r="O550" s="134"/>
      <c r="P550" s="134" t="s">
        <v>693</v>
      </c>
      <c r="Q550" s="134"/>
      <c r="R550" s="134"/>
      <c r="S550" s="134"/>
      <c r="T550" s="135">
        <v>2928700177</v>
      </c>
      <c r="U550" s="135"/>
      <c r="V550" s="136" t="s">
        <v>618</v>
      </c>
      <c r="W550" s="136"/>
      <c r="X550" s="129">
        <v>9600</v>
      </c>
      <c r="Y550" s="129"/>
      <c r="Z550" s="129">
        <v>8727</v>
      </c>
      <c r="AA550" s="129"/>
      <c r="AB550" s="129"/>
      <c r="AC550" s="129"/>
      <c r="AD550" s="129">
        <v>873</v>
      </c>
      <c r="AE550" s="129"/>
      <c r="AF550" s="129"/>
      <c r="AG550" s="129"/>
      <c r="AH550" s="129"/>
      <c r="AI550" s="129">
        <v>0</v>
      </c>
      <c r="AJ550" s="129"/>
      <c r="AK550" s="129"/>
    </row>
    <row r="551" spans="3:37" ht="14.85" customHeight="1" x14ac:dyDescent="0.15">
      <c r="C551" s="132">
        <v>44559</v>
      </c>
      <c r="D551" s="132"/>
      <c r="E551" s="132">
        <v>44560</v>
      </c>
      <c r="F551" s="132"/>
      <c r="G551" s="132"/>
      <c r="H551" s="132"/>
      <c r="I551" s="133" t="s">
        <v>665</v>
      </c>
      <c r="J551" s="133"/>
      <c r="K551" s="133"/>
      <c r="L551" s="133"/>
      <c r="M551" s="133"/>
      <c r="N551" s="134" t="s">
        <v>664</v>
      </c>
      <c r="O551" s="134"/>
      <c r="P551" s="134" t="s">
        <v>681</v>
      </c>
      <c r="Q551" s="134"/>
      <c r="R551" s="134"/>
      <c r="S551" s="134"/>
      <c r="T551" s="135">
        <v>1168119477</v>
      </c>
      <c r="U551" s="135"/>
      <c r="V551" s="136" t="s">
        <v>618</v>
      </c>
      <c r="W551" s="136"/>
      <c r="X551" s="129">
        <v>1400</v>
      </c>
      <c r="Y551" s="129"/>
      <c r="Z551" s="129">
        <v>1400</v>
      </c>
      <c r="AA551" s="129"/>
      <c r="AB551" s="129"/>
      <c r="AC551" s="129"/>
      <c r="AD551" s="129">
        <v>0</v>
      </c>
      <c r="AE551" s="129"/>
      <c r="AF551" s="129"/>
      <c r="AG551" s="129"/>
      <c r="AH551" s="129"/>
      <c r="AI551" s="129">
        <v>0</v>
      </c>
      <c r="AJ551" s="129"/>
      <c r="AK551" s="129"/>
    </row>
    <row r="552" spans="3:37" ht="14.85" customHeight="1" x14ac:dyDescent="0.15">
      <c r="C552" s="132">
        <v>44559</v>
      </c>
      <c r="D552" s="132"/>
      <c r="E552" s="132">
        <v>44561</v>
      </c>
      <c r="F552" s="132"/>
      <c r="G552" s="132"/>
      <c r="H552" s="132"/>
      <c r="I552" s="133" t="s">
        <v>665</v>
      </c>
      <c r="J552" s="133"/>
      <c r="K552" s="133"/>
      <c r="L552" s="133"/>
      <c r="M552" s="133"/>
      <c r="N552" s="134" t="s">
        <v>664</v>
      </c>
      <c r="O552" s="134"/>
      <c r="P552" s="134" t="s">
        <v>692</v>
      </c>
      <c r="Q552" s="134"/>
      <c r="R552" s="134"/>
      <c r="S552" s="134"/>
      <c r="T552" s="135">
        <v>5304900441</v>
      </c>
      <c r="U552" s="135"/>
      <c r="V552" s="136" t="s">
        <v>618</v>
      </c>
      <c r="W552" s="136"/>
      <c r="X552" s="129">
        <v>2100</v>
      </c>
      <c r="Y552" s="129"/>
      <c r="Z552" s="129">
        <v>1909</v>
      </c>
      <c r="AA552" s="129"/>
      <c r="AB552" s="129"/>
      <c r="AC552" s="129"/>
      <c r="AD552" s="129">
        <v>191</v>
      </c>
      <c r="AE552" s="129"/>
      <c r="AF552" s="129"/>
      <c r="AG552" s="129"/>
      <c r="AH552" s="129"/>
      <c r="AI552" s="129">
        <v>0</v>
      </c>
      <c r="AJ552" s="129"/>
      <c r="AK552" s="129"/>
    </row>
    <row r="553" spans="3:37" ht="14.85" customHeight="1" x14ac:dyDescent="0.15">
      <c r="C553" s="132">
        <v>44559</v>
      </c>
      <c r="D553" s="132"/>
      <c r="E553" s="132">
        <v>44561</v>
      </c>
      <c r="F553" s="132"/>
      <c r="G553" s="132"/>
      <c r="H553" s="132"/>
      <c r="I553" s="133" t="s">
        <v>665</v>
      </c>
      <c r="J553" s="133"/>
      <c r="K553" s="133"/>
      <c r="L553" s="133"/>
      <c r="M553" s="133"/>
      <c r="N553" s="134" t="s">
        <v>664</v>
      </c>
      <c r="O553" s="134"/>
      <c r="P553" s="134" t="s">
        <v>641</v>
      </c>
      <c r="Q553" s="134"/>
      <c r="R553" s="134"/>
      <c r="S553" s="134"/>
      <c r="T553" s="135">
        <v>1188506525</v>
      </c>
      <c r="U553" s="135"/>
      <c r="V553" s="136" t="s">
        <v>618</v>
      </c>
      <c r="W553" s="136"/>
      <c r="X553" s="129">
        <v>4500</v>
      </c>
      <c r="Y553" s="129"/>
      <c r="Z553" s="129">
        <v>4091</v>
      </c>
      <c r="AA553" s="129"/>
      <c r="AB553" s="129"/>
      <c r="AC553" s="129"/>
      <c r="AD553" s="129">
        <v>409</v>
      </c>
      <c r="AE553" s="129"/>
      <c r="AF553" s="129"/>
      <c r="AG553" s="129"/>
      <c r="AH553" s="129"/>
      <c r="AI553" s="129">
        <v>0</v>
      </c>
      <c r="AJ553" s="129"/>
      <c r="AK553" s="129"/>
    </row>
    <row r="554" spans="3:37" ht="14.85" customHeight="1" x14ac:dyDescent="0.15">
      <c r="C554" s="132">
        <v>44560</v>
      </c>
      <c r="D554" s="132"/>
      <c r="E554" s="132">
        <v>44561</v>
      </c>
      <c r="F554" s="132"/>
      <c r="G554" s="132"/>
      <c r="H554" s="132"/>
      <c r="I554" s="133" t="s">
        <v>665</v>
      </c>
      <c r="J554" s="133"/>
      <c r="K554" s="133"/>
      <c r="L554" s="133"/>
      <c r="M554" s="133"/>
      <c r="N554" s="134" t="s">
        <v>664</v>
      </c>
      <c r="O554" s="134"/>
      <c r="P554" s="134" t="s">
        <v>681</v>
      </c>
      <c r="Q554" s="134"/>
      <c r="R554" s="134"/>
      <c r="S554" s="134"/>
      <c r="T554" s="135">
        <v>1168119477</v>
      </c>
      <c r="U554" s="135"/>
      <c r="V554" s="136" t="s">
        <v>618</v>
      </c>
      <c r="W554" s="136"/>
      <c r="X554" s="129">
        <v>4900</v>
      </c>
      <c r="Y554" s="129"/>
      <c r="Z554" s="129">
        <v>4900</v>
      </c>
      <c r="AA554" s="129"/>
      <c r="AB554" s="129"/>
      <c r="AC554" s="129"/>
      <c r="AD554" s="129">
        <v>0</v>
      </c>
      <c r="AE554" s="129"/>
      <c r="AF554" s="129"/>
      <c r="AG554" s="129"/>
      <c r="AH554" s="129"/>
      <c r="AI554" s="129">
        <v>0</v>
      </c>
      <c r="AJ554" s="129"/>
      <c r="AK554" s="129"/>
    </row>
    <row r="555" spans="3:37" ht="14.85" customHeight="1" x14ac:dyDescent="0.15">
      <c r="C555" s="132">
        <v>44560</v>
      </c>
      <c r="D555" s="132"/>
      <c r="E555" s="132">
        <v>44562</v>
      </c>
      <c r="F555" s="132"/>
      <c r="G555" s="132"/>
      <c r="H555" s="132"/>
      <c r="I555" s="133" t="s">
        <v>665</v>
      </c>
      <c r="J555" s="133"/>
      <c r="K555" s="133"/>
      <c r="L555" s="133"/>
      <c r="M555" s="133"/>
      <c r="N555" s="134" t="s">
        <v>664</v>
      </c>
      <c r="O555" s="134"/>
      <c r="P555" s="134" t="s">
        <v>641</v>
      </c>
      <c r="Q555" s="134"/>
      <c r="R555" s="134"/>
      <c r="S555" s="134"/>
      <c r="T555" s="135">
        <v>1188506525</v>
      </c>
      <c r="U555" s="135"/>
      <c r="V555" s="136" t="s">
        <v>618</v>
      </c>
      <c r="W555" s="136"/>
      <c r="X555" s="129">
        <v>4500</v>
      </c>
      <c r="Y555" s="129"/>
      <c r="Z555" s="129">
        <v>4091</v>
      </c>
      <c r="AA555" s="129"/>
      <c r="AB555" s="129"/>
      <c r="AC555" s="129"/>
      <c r="AD555" s="129">
        <v>409</v>
      </c>
      <c r="AE555" s="129"/>
      <c r="AF555" s="129"/>
      <c r="AG555" s="129"/>
      <c r="AH555" s="129"/>
      <c r="AI555" s="129">
        <v>0</v>
      </c>
      <c r="AJ555" s="129"/>
      <c r="AK555" s="129"/>
    </row>
    <row r="556" spans="3:37" ht="14.85" customHeight="1" x14ac:dyDescent="0.15">
      <c r="C556" s="132">
        <v>44530</v>
      </c>
      <c r="D556" s="132"/>
      <c r="E556" s="132">
        <v>44565</v>
      </c>
      <c r="F556" s="132"/>
      <c r="G556" s="132"/>
      <c r="H556" s="132"/>
      <c r="I556" s="133" t="s">
        <v>621</v>
      </c>
      <c r="J556" s="133"/>
      <c r="K556" s="133"/>
      <c r="L556" s="133"/>
      <c r="M556" s="133"/>
      <c r="N556" s="134" t="s">
        <v>620</v>
      </c>
      <c r="O556" s="134"/>
      <c r="P556" s="134" t="s">
        <v>640</v>
      </c>
      <c r="Q556" s="134"/>
      <c r="R556" s="134"/>
      <c r="S556" s="134"/>
      <c r="T556" s="135">
        <v>2028148079</v>
      </c>
      <c r="U556" s="135"/>
      <c r="V556" s="136" t="s">
        <v>618</v>
      </c>
      <c r="W556" s="136"/>
      <c r="X556" s="129">
        <v>200</v>
      </c>
      <c r="Y556" s="129"/>
      <c r="Z556" s="129">
        <v>200</v>
      </c>
      <c r="AA556" s="129"/>
      <c r="AB556" s="129"/>
      <c r="AC556" s="129"/>
      <c r="AD556" s="129">
        <v>0</v>
      </c>
      <c r="AE556" s="129"/>
      <c r="AF556" s="129"/>
      <c r="AG556" s="129"/>
      <c r="AH556" s="129"/>
      <c r="AI556" s="129">
        <v>0</v>
      </c>
      <c r="AJ556" s="129"/>
      <c r="AK556" s="129"/>
    </row>
    <row r="557" spans="3:37" ht="14.85" customHeight="1" x14ac:dyDescent="0.15">
      <c r="C557" s="132">
        <v>44566</v>
      </c>
      <c r="D557" s="132"/>
      <c r="E557" s="132">
        <v>44567</v>
      </c>
      <c r="F557" s="132"/>
      <c r="G557" s="132"/>
      <c r="H557" s="132"/>
      <c r="I557" s="133" t="s">
        <v>665</v>
      </c>
      <c r="J557" s="133"/>
      <c r="K557" s="133"/>
      <c r="L557" s="133"/>
      <c r="M557" s="133"/>
      <c r="N557" s="134" t="s">
        <v>664</v>
      </c>
      <c r="O557" s="134"/>
      <c r="P557" s="134" t="s">
        <v>681</v>
      </c>
      <c r="Q557" s="134"/>
      <c r="R557" s="134"/>
      <c r="S557" s="134"/>
      <c r="T557" s="135">
        <v>1168119477</v>
      </c>
      <c r="U557" s="135"/>
      <c r="V557" s="136" t="s">
        <v>618</v>
      </c>
      <c r="W557" s="136"/>
      <c r="X557" s="129">
        <v>700</v>
      </c>
      <c r="Y557" s="129"/>
      <c r="Z557" s="129">
        <v>700</v>
      </c>
      <c r="AA557" s="129"/>
      <c r="AB557" s="129"/>
      <c r="AC557" s="129"/>
      <c r="AD557" s="129">
        <v>0</v>
      </c>
      <c r="AE557" s="129"/>
      <c r="AF557" s="129"/>
      <c r="AG557" s="129"/>
      <c r="AH557" s="129"/>
      <c r="AI557" s="129">
        <v>0</v>
      </c>
      <c r="AJ557" s="129"/>
      <c r="AK557" s="129"/>
    </row>
    <row r="558" spans="3:37" ht="14.85" customHeight="1" x14ac:dyDescent="0.15">
      <c r="C558" s="132">
        <v>44566</v>
      </c>
      <c r="D558" s="132"/>
      <c r="E558" s="132">
        <v>44568</v>
      </c>
      <c r="F558" s="132"/>
      <c r="G558" s="132"/>
      <c r="H558" s="132"/>
      <c r="I558" s="133" t="s">
        <v>665</v>
      </c>
      <c r="J558" s="133"/>
      <c r="K558" s="133"/>
      <c r="L558" s="133"/>
      <c r="M558" s="133"/>
      <c r="N558" s="134" t="s">
        <v>664</v>
      </c>
      <c r="O558" s="134"/>
      <c r="P558" s="134" t="s">
        <v>641</v>
      </c>
      <c r="Q558" s="134"/>
      <c r="R558" s="134"/>
      <c r="S558" s="134"/>
      <c r="T558" s="135">
        <v>1188506525</v>
      </c>
      <c r="U558" s="135"/>
      <c r="V558" s="136" t="s">
        <v>618</v>
      </c>
      <c r="W558" s="136"/>
      <c r="X558" s="129">
        <v>4500</v>
      </c>
      <c r="Y558" s="129"/>
      <c r="Z558" s="129">
        <v>4091</v>
      </c>
      <c r="AA558" s="129"/>
      <c r="AB558" s="129"/>
      <c r="AC558" s="129"/>
      <c r="AD558" s="129">
        <v>409</v>
      </c>
      <c r="AE558" s="129"/>
      <c r="AF558" s="129"/>
      <c r="AG558" s="129"/>
      <c r="AH558" s="129"/>
      <c r="AI558" s="129">
        <v>0</v>
      </c>
      <c r="AJ558" s="129"/>
      <c r="AK558" s="129"/>
    </row>
    <row r="559" spans="3:37" ht="14.85" customHeight="1" x14ac:dyDescent="0.15">
      <c r="C559" s="132">
        <v>44567</v>
      </c>
      <c r="D559" s="132"/>
      <c r="E559" s="132">
        <v>44568</v>
      </c>
      <c r="F559" s="132"/>
      <c r="G559" s="132"/>
      <c r="H559" s="132"/>
      <c r="I559" s="133" t="s">
        <v>621</v>
      </c>
      <c r="J559" s="133"/>
      <c r="K559" s="133"/>
      <c r="L559" s="133"/>
      <c r="M559" s="133"/>
      <c r="N559" s="134" t="s">
        <v>630</v>
      </c>
      <c r="O559" s="134"/>
      <c r="P559" s="134" t="s">
        <v>691</v>
      </c>
      <c r="Q559" s="134"/>
      <c r="R559" s="134"/>
      <c r="S559" s="134"/>
      <c r="T559" s="135">
        <v>1208200052</v>
      </c>
      <c r="U559" s="135"/>
      <c r="V559" s="136" t="s">
        <v>618</v>
      </c>
      <c r="W559" s="136"/>
      <c r="X559" s="129">
        <v>82380</v>
      </c>
      <c r="Y559" s="129"/>
      <c r="Z559" s="129">
        <v>82380</v>
      </c>
      <c r="AA559" s="129"/>
      <c r="AB559" s="129"/>
      <c r="AC559" s="129"/>
      <c r="AD559" s="129">
        <v>0</v>
      </c>
      <c r="AE559" s="129"/>
      <c r="AF559" s="129"/>
      <c r="AG559" s="129"/>
      <c r="AH559" s="129"/>
      <c r="AI559" s="129">
        <v>0</v>
      </c>
      <c r="AJ559" s="129"/>
      <c r="AK559" s="129"/>
    </row>
    <row r="560" spans="3:37" ht="14.85" customHeight="1" x14ac:dyDescent="0.15">
      <c r="C560" s="132">
        <v>44567</v>
      </c>
      <c r="D560" s="132"/>
      <c r="E560" s="132">
        <v>44568</v>
      </c>
      <c r="F560" s="132"/>
      <c r="G560" s="132"/>
      <c r="H560" s="132"/>
      <c r="I560" s="133" t="s">
        <v>621</v>
      </c>
      <c r="J560" s="133"/>
      <c r="K560" s="133"/>
      <c r="L560" s="133"/>
      <c r="M560" s="133"/>
      <c r="N560" s="134" t="s">
        <v>687</v>
      </c>
      <c r="O560" s="134"/>
      <c r="P560" s="134" t="s">
        <v>690</v>
      </c>
      <c r="Q560" s="134"/>
      <c r="R560" s="134"/>
      <c r="S560" s="134"/>
      <c r="T560" s="135">
        <v>2208139938</v>
      </c>
      <c r="U560" s="135"/>
      <c r="V560" s="136" t="s">
        <v>618</v>
      </c>
      <c r="W560" s="136"/>
      <c r="X560" s="129">
        <v>43050</v>
      </c>
      <c r="Y560" s="129"/>
      <c r="Z560" s="129">
        <v>43050</v>
      </c>
      <c r="AA560" s="129"/>
      <c r="AB560" s="129"/>
      <c r="AC560" s="129"/>
      <c r="AD560" s="129">
        <v>0</v>
      </c>
      <c r="AE560" s="129"/>
      <c r="AF560" s="129"/>
      <c r="AG560" s="129"/>
      <c r="AH560" s="129"/>
      <c r="AI560" s="129">
        <v>0</v>
      </c>
      <c r="AJ560" s="129"/>
      <c r="AK560" s="129"/>
    </row>
    <row r="561" spans="3:37" ht="14.85" customHeight="1" x14ac:dyDescent="0.15">
      <c r="C561" s="132">
        <v>44567</v>
      </c>
      <c r="D561" s="132"/>
      <c r="E561" s="132">
        <v>44568</v>
      </c>
      <c r="F561" s="132"/>
      <c r="G561" s="132"/>
      <c r="H561" s="132"/>
      <c r="I561" s="133" t="s">
        <v>621</v>
      </c>
      <c r="J561" s="133"/>
      <c r="K561" s="133"/>
      <c r="L561" s="133"/>
      <c r="M561" s="133"/>
      <c r="N561" s="134" t="s">
        <v>630</v>
      </c>
      <c r="O561" s="134"/>
      <c r="P561" s="134" t="s">
        <v>631</v>
      </c>
      <c r="Q561" s="134"/>
      <c r="R561" s="134"/>
      <c r="S561" s="134"/>
      <c r="T561" s="135">
        <v>1168119948</v>
      </c>
      <c r="U561" s="135"/>
      <c r="V561" s="136" t="s">
        <v>618</v>
      </c>
      <c r="W561" s="136"/>
      <c r="X561" s="129">
        <v>182060</v>
      </c>
      <c r="Y561" s="129"/>
      <c r="Z561" s="129">
        <v>165509</v>
      </c>
      <c r="AA561" s="129"/>
      <c r="AB561" s="129"/>
      <c r="AC561" s="129"/>
      <c r="AD561" s="129">
        <v>16551</v>
      </c>
      <c r="AE561" s="129"/>
      <c r="AF561" s="129"/>
      <c r="AG561" s="129"/>
      <c r="AH561" s="129"/>
      <c r="AI561" s="129">
        <v>0</v>
      </c>
      <c r="AJ561" s="129"/>
      <c r="AK561" s="129"/>
    </row>
    <row r="562" spans="3:37" ht="14.85" customHeight="1" x14ac:dyDescent="0.15">
      <c r="C562" s="132">
        <v>44569</v>
      </c>
      <c r="D562" s="132"/>
      <c r="E562" s="132">
        <v>44570</v>
      </c>
      <c r="F562" s="132"/>
      <c r="G562" s="132"/>
      <c r="H562" s="132"/>
      <c r="I562" s="133" t="s">
        <v>621</v>
      </c>
      <c r="J562" s="133"/>
      <c r="K562" s="133"/>
      <c r="L562" s="133"/>
      <c r="M562" s="133"/>
      <c r="N562" s="134" t="s">
        <v>687</v>
      </c>
      <c r="O562" s="134"/>
      <c r="P562" s="134" t="s">
        <v>689</v>
      </c>
      <c r="Q562" s="134"/>
      <c r="R562" s="134"/>
      <c r="S562" s="134"/>
      <c r="T562" s="135">
        <v>3073300229</v>
      </c>
      <c r="U562" s="135"/>
      <c r="V562" s="136" t="s">
        <v>618</v>
      </c>
      <c r="W562" s="136"/>
      <c r="X562" s="129">
        <v>19000</v>
      </c>
      <c r="Y562" s="129"/>
      <c r="Z562" s="129">
        <v>17273</v>
      </c>
      <c r="AA562" s="129"/>
      <c r="AB562" s="129"/>
      <c r="AC562" s="129"/>
      <c r="AD562" s="129">
        <v>1727</v>
      </c>
      <c r="AE562" s="129"/>
      <c r="AF562" s="129"/>
      <c r="AG562" s="129"/>
      <c r="AH562" s="129"/>
      <c r="AI562" s="129">
        <v>0</v>
      </c>
      <c r="AJ562" s="129"/>
      <c r="AK562" s="129"/>
    </row>
    <row r="563" spans="3:37" ht="14.85" customHeight="1" x14ac:dyDescent="0.15">
      <c r="C563" s="132">
        <v>44568</v>
      </c>
      <c r="D563" s="132"/>
      <c r="E563" s="132">
        <v>44571</v>
      </c>
      <c r="F563" s="132"/>
      <c r="G563" s="132"/>
      <c r="H563" s="132"/>
      <c r="I563" s="133" t="s">
        <v>621</v>
      </c>
      <c r="J563" s="133"/>
      <c r="K563" s="133"/>
      <c r="L563" s="133"/>
      <c r="M563" s="133"/>
      <c r="N563" s="134" t="s">
        <v>687</v>
      </c>
      <c r="O563" s="134"/>
      <c r="P563" s="134" t="s">
        <v>688</v>
      </c>
      <c r="Q563" s="134"/>
      <c r="R563" s="134"/>
      <c r="S563" s="134"/>
      <c r="T563" s="135">
        <v>1048183559</v>
      </c>
      <c r="U563" s="135"/>
      <c r="V563" s="136" t="s">
        <v>618</v>
      </c>
      <c r="W563" s="136"/>
      <c r="X563" s="129">
        <v>5400</v>
      </c>
      <c r="Y563" s="129"/>
      <c r="Z563" s="129">
        <v>5400</v>
      </c>
      <c r="AA563" s="129"/>
      <c r="AB563" s="129"/>
      <c r="AC563" s="129"/>
      <c r="AD563" s="129">
        <v>0</v>
      </c>
      <c r="AE563" s="129"/>
      <c r="AF563" s="129"/>
      <c r="AG563" s="129"/>
      <c r="AH563" s="129"/>
      <c r="AI563" s="129">
        <v>0</v>
      </c>
      <c r="AJ563" s="129"/>
      <c r="AK563" s="129"/>
    </row>
    <row r="564" spans="3:37" ht="14.85" customHeight="1" x14ac:dyDescent="0.15">
      <c r="C564" s="132">
        <v>44569</v>
      </c>
      <c r="D564" s="132"/>
      <c r="E564" s="132">
        <v>44571</v>
      </c>
      <c r="F564" s="132"/>
      <c r="G564" s="132"/>
      <c r="H564" s="132"/>
      <c r="I564" s="133" t="s">
        <v>621</v>
      </c>
      <c r="J564" s="133"/>
      <c r="K564" s="133"/>
      <c r="L564" s="133"/>
      <c r="M564" s="133"/>
      <c r="N564" s="134" t="s">
        <v>687</v>
      </c>
      <c r="O564" s="134"/>
      <c r="P564" s="134" t="s">
        <v>641</v>
      </c>
      <c r="Q564" s="134"/>
      <c r="R564" s="134"/>
      <c r="S564" s="134"/>
      <c r="T564" s="135">
        <v>1188506525</v>
      </c>
      <c r="U564" s="135"/>
      <c r="V564" s="136" t="s">
        <v>618</v>
      </c>
      <c r="W564" s="136"/>
      <c r="X564" s="129">
        <v>6100</v>
      </c>
      <c r="Y564" s="129"/>
      <c r="Z564" s="129">
        <v>5545</v>
      </c>
      <c r="AA564" s="129"/>
      <c r="AB564" s="129"/>
      <c r="AC564" s="129"/>
      <c r="AD564" s="129">
        <v>555</v>
      </c>
      <c r="AE564" s="129"/>
      <c r="AF564" s="129"/>
      <c r="AG564" s="129"/>
      <c r="AH564" s="129"/>
      <c r="AI564" s="129">
        <v>0</v>
      </c>
      <c r="AJ564" s="129"/>
      <c r="AK564" s="129"/>
    </row>
    <row r="565" spans="3:37" ht="14.85" customHeight="1" x14ac:dyDescent="0.15">
      <c r="C565" s="132">
        <v>44572</v>
      </c>
      <c r="D565" s="132"/>
      <c r="E565" s="132">
        <v>44574</v>
      </c>
      <c r="F565" s="132"/>
      <c r="G565" s="132"/>
      <c r="H565" s="132"/>
      <c r="I565" s="133" t="s">
        <v>621</v>
      </c>
      <c r="J565" s="133"/>
      <c r="K565" s="133"/>
      <c r="L565" s="133"/>
      <c r="M565" s="133"/>
      <c r="N565" s="134" t="s">
        <v>687</v>
      </c>
      <c r="O565" s="134"/>
      <c r="P565" s="134" t="s">
        <v>670</v>
      </c>
      <c r="Q565" s="134"/>
      <c r="R565" s="134"/>
      <c r="S565" s="134"/>
      <c r="T565" s="135">
        <v>1058177410</v>
      </c>
      <c r="U565" s="135"/>
      <c r="V565" s="136" t="s">
        <v>622</v>
      </c>
      <c r="W565" s="136"/>
      <c r="X565" s="129">
        <v>800</v>
      </c>
      <c r="Y565" s="129"/>
      <c r="Z565" s="129">
        <v>800</v>
      </c>
      <c r="AA565" s="129"/>
      <c r="AB565" s="129"/>
      <c r="AC565" s="129"/>
      <c r="AD565" s="129">
        <v>0</v>
      </c>
      <c r="AE565" s="129"/>
      <c r="AF565" s="129"/>
      <c r="AG565" s="129"/>
      <c r="AH565" s="129"/>
      <c r="AI565" s="129">
        <v>0</v>
      </c>
      <c r="AJ565" s="129"/>
      <c r="AK565" s="129"/>
    </row>
    <row r="566" spans="3:37" ht="14.85" customHeight="1" x14ac:dyDescent="0.15">
      <c r="C566" s="132">
        <v>44572</v>
      </c>
      <c r="D566" s="132"/>
      <c r="E566" s="132">
        <v>44574</v>
      </c>
      <c r="F566" s="132"/>
      <c r="G566" s="132"/>
      <c r="H566" s="132"/>
      <c r="I566" s="133" t="s">
        <v>621</v>
      </c>
      <c r="J566" s="133"/>
      <c r="K566" s="133"/>
      <c r="L566" s="133"/>
      <c r="M566" s="133"/>
      <c r="N566" s="134" t="s">
        <v>687</v>
      </c>
      <c r="O566" s="134"/>
      <c r="P566" s="134" t="s">
        <v>670</v>
      </c>
      <c r="Q566" s="134"/>
      <c r="R566" s="134"/>
      <c r="S566" s="134"/>
      <c r="T566" s="135">
        <v>1058177410</v>
      </c>
      <c r="U566" s="135"/>
      <c r="V566" s="136" t="s">
        <v>622</v>
      </c>
      <c r="W566" s="136"/>
      <c r="X566" s="129">
        <v>800</v>
      </c>
      <c r="Y566" s="129"/>
      <c r="Z566" s="129">
        <v>800</v>
      </c>
      <c r="AA566" s="129"/>
      <c r="AB566" s="129"/>
      <c r="AC566" s="129"/>
      <c r="AD566" s="129">
        <v>0</v>
      </c>
      <c r="AE566" s="129"/>
      <c r="AF566" s="129"/>
      <c r="AG566" s="129"/>
      <c r="AH566" s="129"/>
      <c r="AI566" s="129">
        <v>0</v>
      </c>
      <c r="AJ566" s="129"/>
      <c r="AK566" s="129"/>
    </row>
    <row r="567" spans="3:37" ht="14.85" customHeight="1" x14ac:dyDescent="0.15">
      <c r="C567" s="132">
        <v>44579</v>
      </c>
      <c r="D567" s="132"/>
      <c r="E567" s="132">
        <v>44580</v>
      </c>
      <c r="F567" s="132"/>
      <c r="G567" s="132"/>
      <c r="H567" s="132"/>
      <c r="I567" s="133" t="s">
        <v>665</v>
      </c>
      <c r="J567" s="133"/>
      <c r="K567" s="133"/>
      <c r="L567" s="133"/>
      <c r="M567" s="133"/>
      <c r="N567" s="134" t="s">
        <v>664</v>
      </c>
      <c r="O567" s="134"/>
      <c r="P567" s="134" t="s">
        <v>681</v>
      </c>
      <c r="Q567" s="134"/>
      <c r="R567" s="134"/>
      <c r="S567" s="134"/>
      <c r="T567" s="135">
        <v>1168119477</v>
      </c>
      <c r="U567" s="135"/>
      <c r="V567" s="136" t="s">
        <v>618</v>
      </c>
      <c r="W567" s="136"/>
      <c r="X567" s="129">
        <v>1400</v>
      </c>
      <c r="Y567" s="129"/>
      <c r="Z567" s="129">
        <v>1400</v>
      </c>
      <c r="AA567" s="129"/>
      <c r="AB567" s="129"/>
      <c r="AC567" s="129"/>
      <c r="AD567" s="129">
        <v>0</v>
      </c>
      <c r="AE567" s="129"/>
      <c r="AF567" s="129"/>
      <c r="AG567" s="129"/>
      <c r="AH567" s="129"/>
      <c r="AI567" s="129">
        <v>0</v>
      </c>
      <c r="AJ567" s="129"/>
      <c r="AK567" s="129"/>
    </row>
    <row r="568" spans="3:37" ht="14.85" customHeight="1" x14ac:dyDescent="0.15">
      <c r="C568" s="132">
        <v>44579</v>
      </c>
      <c r="D568" s="132"/>
      <c r="E568" s="132">
        <v>44581</v>
      </c>
      <c r="F568" s="132"/>
      <c r="G568" s="132"/>
      <c r="H568" s="132"/>
      <c r="I568" s="133" t="s">
        <v>665</v>
      </c>
      <c r="J568" s="133"/>
      <c r="K568" s="133"/>
      <c r="L568" s="133"/>
      <c r="M568" s="133"/>
      <c r="N568" s="134" t="s">
        <v>664</v>
      </c>
      <c r="O568" s="134"/>
      <c r="P568" s="134" t="s">
        <v>686</v>
      </c>
      <c r="Q568" s="134"/>
      <c r="R568" s="134"/>
      <c r="S568" s="134"/>
      <c r="T568" s="135">
        <v>4118601799</v>
      </c>
      <c r="U568" s="135"/>
      <c r="V568" s="136" t="s">
        <v>618</v>
      </c>
      <c r="W568" s="136"/>
      <c r="X568" s="129">
        <v>1500</v>
      </c>
      <c r="Y568" s="129"/>
      <c r="Z568" s="129">
        <v>1500</v>
      </c>
      <c r="AA568" s="129"/>
      <c r="AB568" s="129"/>
      <c r="AC568" s="129"/>
      <c r="AD568" s="129">
        <v>0</v>
      </c>
      <c r="AE568" s="129"/>
      <c r="AF568" s="129"/>
      <c r="AG568" s="129"/>
      <c r="AH568" s="129"/>
      <c r="AI568" s="129">
        <v>0</v>
      </c>
      <c r="AJ568" s="129"/>
      <c r="AK568" s="129"/>
    </row>
    <row r="569" spans="3:37" ht="14.85" customHeight="1" x14ac:dyDescent="0.15">
      <c r="C569" s="132">
        <v>44585</v>
      </c>
      <c r="D569" s="132"/>
      <c r="E569" s="132">
        <v>44586</v>
      </c>
      <c r="F569" s="132"/>
      <c r="G569" s="132"/>
      <c r="H569" s="132"/>
      <c r="I569" s="133" t="s">
        <v>665</v>
      </c>
      <c r="J569" s="133"/>
      <c r="K569" s="133"/>
      <c r="L569" s="133"/>
      <c r="M569" s="133"/>
      <c r="N569" s="134" t="s">
        <v>664</v>
      </c>
      <c r="O569" s="134"/>
      <c r="P569" s="134" t="s">
        <v>634</v>
      </c>
      <c r="Q569" s="134"/>
      <c r="R569" s="134"/>
      <c r="S569" s="134"/>
      <c r="T569" s="135">
        <v>1298638970</v>
      </c>
      <c r="U569" s="135"/>
      <c r="V569" s="136" t="s">
        <v>618</v>
      </c>
      <c r="W569" s="136"/>
      <c r="X569" s="129">
        <v>11700</v>
      </c>
      <c r="Y569" s="129"/>
      <c r="Z569" s="129">
        <v>11700</v>
      </c>
      <c r="AA569" s="129"/>
      <c r="AB569" s="129"/>
      <c r="AC569" s="129"/>
      <c r="AD569" s="129">
        <v>0</v>
      </c>
      <c r="AE569" s="129"/>
      <c r="AF569" s="129"/>
      <c r="AG569" s="129"/>
      <c r="AH569" s="129"/>
      <c r="AI569" s="129">
        <v>0</v>
      </c>
      <c r="AJ569" s="129"/>
      <c r="AK569" s="129"/>
    </row>
    <row r="570" spans="3:37" ht="14.85" customHeight="1" x14ac:dyDescent="0.15">
      <c r="C570" s="132">
        <v>44585</v>
      </c>
      <c r="D570" s="132"/>
      <c r="E570" s="132">
        <v>44586</v>
      </c>
      <c r="F570" s="132"/>
      <c r="G570" s="132"/>
      <c r="H570" s="132"/>
      <c r="I570" s="133" t="s">
        <v>665</v>
      </c>
      <c r="J570" s="133"/>
      <c r="K570" s="133"/>
      <c r="L570" s="133"/>
      <c r="M570" s="133"/>
      <c r="N570" s="134" t="s">
        <v>664</v>
      </c>
      <c r="O570" s="134"/>
      <c r="P570" s="134" t="s">
        <v>634</v>
      </c>
      <c r="Q570" s="134"/>
      <c r="R570" s="134"/>
      <c r="S570" s="134"/>
      <c r="T570" s="135">
        <v>1298638970</v>
      </c>
      <c r="U570" s="135"/>
      <c r="V570" s="136" t="s">
        <v>618</v>
      </c>
      <c r="W570" s="136"/>
      <c r="X570" s="129">
        <v>11500</v>
      </c>
      <c r="Y570" s="129"/>
      <c r="Z570" s="129">
        <v>11500</v>
      </c>
      <c r="AA570" s="129"/>
      <c r="AB570" s="129"/>
      <c r="AC570" s="129"/>
      <c r="AD570" s="129">
        <v>0</v>
      </c>
      <c r="AE570" s="129"/>
      <c r="AF570" s="129"/>
      <c r="AG570" s="129"/>
      <c r="AH570" s="129"/>
      <c r="AI570" s="129">
        <v>0</v>
      </c>
      <c r="AJ570" s="129"/>
      <c r="AK570" s="129"/>
    </row>
    <row r="571" spans="3:37" ht="14.85" customHeight="1" x14ac:dyDescent="0.15">
      <c r="C571" s="132">
        <v>44585</v>
      </c>
      <c r="D571" s="132"/>
      <c r="E571" s="132">
        <v>44586</v>
      </c>
      <c r="F571" s="132"/>
      <c r="G571" s="132"/>
      <c r="H571" s="132"/>
      <c r="I571" s="133" t="s">
        <v>665</v>
      </c>
      <c r="J571" s="133"/>
      <c r="K571" s="133"/>
      <c r="L571" s="133"/>
      <c r="M571" s="133"/>
      <c r="N571" s="134" t="s">
        <v>664</v>
      </c>
      <c r="O571" s="134"/>
      <c r="P571" s="134" t="s">
        <v>634</v>
      </c>
      <c r="Q571" s="134"/>
      <c r="R571" s="134"/>
      <c r="S571" s="134"/>
      <c r="T571" s="135">
        <v>1298638970</v>
      </c>
      <c r="U571" s="135"/>
      <c r="V571" s="136" t="s">
        <v>618</v>
      </c>
      <c r="W571" s="136"/>
      <c r="X571" s="129">
        <v>3800</v>
      </c>
      <c r="Y571" s="129"/>
      <c r="Z571" s="129">
        <v>3800</v>
      </c>
      <c r="AA571" s="129"/>
      <c r="AB571" s="129"/>
      <c r="AC571" s="129"/>
      <c r="AD571" s="129">
        <v>0</v>
      </c>
      <c r="AE571" s="129"/>
      <c r="AF571" s="129"/>
      <c r="AG571" s="129"/>
      <c r="AH571" s="129"/>
      <c r="AI571" s="129">
        <v>0</v>
      </c>
      <c r="AJ571" s="129"/>
      <c r="AK571" s="129"/>
    </row>
    <row r="572" spans="3:37" ht="14.85" customHeight="1" x14ac:dyDescent="0.15">
      <c r="C572" s="132">
        <v>44587</v>
      </c>
      <c r="D572" s="132"/>
      <c r="E572" s="132">
        <v>44588</v>
      </c>
      <c r="F572" s="132"/>
      <c r="G572" s="132"/>
      <c r="H572" s="132"/>
      <c r="I572" s="133" t="s">
        <v>665</v>
      </c>
      <c r="J572" s="133"/>
      <c r="K572" s="133"/>
      <c r="L572" s="133"/>
      <c r="M572" s="133"/>
      <c r="N572" s="134" t="s">
        <v>664</v>
      </c>
      <c r="O572" s="134"/>
      <c r="P572" s="134" t="s">
        <v>634</v>
      </c>
      <c r="Q572" s="134"/>
      <c r="R572" s="134"/>
      <c r="S572" s="134"/>
      <c r="T572" s="135">
        <v>1298638970</v>
      </c>
      <c r="U572" s="135"/>
      <c r="V572" s="136" t="s">
        <v>618</v>
      </c>
      <c r="W572" s="136"/>
      <c r="X572" s="129">
        <v>8900</v>
      </c>
      <c r="Y572" s="129"/>
      <c r="Z572" s="129">
        <v>8900</v>
      </c>
      <c r="AA572" s="129"/>
      <c r="AB572" s="129"/>
      <c r="AC572" s="129"/>
      <c r="AD572" s="129">
        <v>0</v>
      </c>
      <c r="AE572" s="129"/>
      <c r="AF572" s="129"/>
      <c r="AG572" s="129"/>
      <c r="AH572" s="129"/>
      <c r="AI572" s="129">
        <v>0</v>
      </c>
      <c r="AJ572" s="129"/>
      <c r="AK572" s="129"/>
    </row>
    <row r="573" spans="3:37" ht="14.85" customHeight="1" x14ac:dyDescent="0.15">
      <c r="C573" s="132">
        <v>44587</v>
      </c>
      <c r="D573" s="132"/>
      <c r="E573" s="132">
        <v>44588</v>
      </c>
      <c r="F573" s="132"/>
      <c r="G573" s="132"/>
      <c r="H573" s="132"/>
      <c r="I573" s="133" t="s">
        <v>665</v>
      </c>
      <c r="J573" s="133"/>
      <c r="K573" s="133"/>
      <c r="L573" s="133"/>
      <c r="M573" s="133"/>
      <c r="N573" s="134" t="s">
        <v>664</v>
      </c>
      <c r="O573" s="134"/>
      <c r="P573" s="134" t="s">
        <v>681</v>
      </c>
      <c r="Q573" s="134"/>
      <c r="R573" s="134"/>
      <c r="S573" s="134"/>
      <c r="T573" s="135">
        <v>2148300617</v>
      </c>
      <c r="U573" s="135"/>
      <c r="V573" s="136" t="s">
        <v>618</v>
      </c>
      <c r="W573" s="136"/>
      <c r="X573" s="129">
        <v>10000</v>
      </c>
      <c r="Y573" s="129"/>
      <c r="Z573" s="129">
        <v>10000</v>
      </c>
      <c r="AA573" s="129"/>
      <c r="AB573" s="129"/>
      <c r="AC573" s="129"/>
      <c r="AD573" s="129">
        <v>0</v>
      </c>
      <c r="AE573" s="129"/>
      <c r="AF573" s="129"/>
      <c r="AG573" s="129"/>
      <c r="AH573" s="129"/>
      <c r="AI573" s="129">
        <v>0</v>
      </c>
      <c r="AJ573" s="129"/>
      <c r="AK573" s="129"/>
    </row>
    <row r="574" spans="3:37" ht="14.85" customHeight="1" x14ac:dyDescent="0.15">
      <c r="C574" s="132">
        <v>44588</v>
      </c>
      <c r="D574" s="132"/>
      <c r="E574" s="132">
        <v>44589</v>
      </c>
      <c r="F574" s="132"/>
      <c r="G574" s="132"/>
      <c r="H574" s="132"/>
      <c r="I574" s="133" t="s">
        <v>665</v>
      </c>
      <c r="J574" s="133"/>
      <c r="K574" s="133"/>
      <c r="L574" s="133"/>
      <c r="M574" s="133"/>
      <c r="N574" s="134" t="s">
        <v>664</v>
      </c>
      <c r="O574" s="134"/>
      <c r="P574" s="134" t="s">
        <v>684</v>
      </c>
      <c r="Q574" s="134"/>
      <c r="R574" s="134"/>
      <c r="S574" s="134"/>
      <c r="T574" s="135">
        <v>2208183676</v>
      </c>
      <c r="U574" s="135"/>
      <c r="V574" s="136" t="s">
        <v>618</v>
      </c>
      <c r="W574" s="136"/>
      <c r="X574" s="129">
        <v>19710</v>
      </c>
      <c r="Y574" s="129"/>
      <c r="Z574" s="129">
        <v>19710</v>
      </c>
      <c r="AA574" s="129"/>
      <c r="AB574" s="129"/>
      <c r="AC574" s="129"/>
      <c r="AD574" s="129">
        <v>0</v>
      </c>
      <c r="AE574" s="129"/>
      <c r="AF574" s="129"/>
      <c r="AG574" s="129"/>
      <c r="AH574" s="129"/>
      <c r="AI574" s="129">
        <v>0</v>
      </c>
      <c r="AJ574" s="129"/>
      <c r="AK574" s="129"/>
    </row>
    <row r="575" spans="3:37" ht="14.85" customHeight="1" x14ac:dyDescent="0.15">
      <c r="C575" s="132">
        <v>44593</v>
      </c>
      <c r="D575" s="132"/>
      <c r="E575" s="132">
        <v>44595</v>
      </c>
      <c r="F575" s="132"/>
      <c r="G575" s="132"/>
      <c r="H575" s="132"/>
      <c r="I575" s="133" t="s">
        <v>665</v>
      </c>
      <c r="J575" s="133"/>
      <c r="K575" s="133"/>
      <c r="L575" s="133"/>
      <c r="M575" s="133"/>
      <c r="N575" s="134" t="s">
        <v>664</v>
      </c>
      <c r="O575" s="134"/>
      <c r="P575" s="134" t="s">
        <v>685</v>
      </c>
      <c r="Q575" s="134"/>
      <c r="R575" s="134"/>
      <c r="S575" s="134"/>
      <c r="T575" s="135">
        <v>1058177410</v>
      </c>
      <c r="U575" s="135"/>
      <c r="V575" s="136" t="s">
        <v>622</v>
      </c>
      <c r="W575" s="136"/>
      <c r="X575" s="129">
        <v>800</v>
      </c>
      <c r="Y575" s="129"/>
      <c r="Z575" s="129">
        <v>800</v>
      </c>
      <c r="AA575" s="129"/>
      <c r="AB575" s="129"/>
      <c r="AC575" s="129"/>
      <c r="AD575" s="129">
        <v>0</v>
      </c>
      <c r="AE575" s="129"/>
      <c r="AF575" s="129"/>
      <c r="AG575" s="129"/>
      <c r="AH575" s="129"/>
      <c r="AI575" s="129">
        <v>0</v>
      </c>
      <c r="AJ575" s="129"/>
      <c r="AK575" s="129"/>
    </row>
    <row r="576" spans="3:37" ht="14.85" customHeight="1" x14ac:dyDescent="0.15">
      <c r="C576" s="132">
        <v>44588</v>
      </c>
      <c r="D576" s="132"/>
      <c r="E576" s="132">
        <v>44595</v>
      </c>
      <c r="F576" s="132"/>
      <c r="G576" s="132"/>
      <c r="H576" s="132"/>
      <c r="I576" s="133" t="s">
        <v>665</v>
      </c>
      <c r="J576" s="133"/>
      <c r="K576" s="133"/>
      <c r="L576" s="133"/>
      <c r="M576" s="133"/>
      <c r="N576" s="134" t="s">
        <v>664</v>
      </c>
      <c r="O576" s="134"/>
      <c r="P576" s="134" t="s">
        <v>684</v>
      </c>
      <c r="Q576" s="134"/>
      <c r="R576" s="134"/>
      <c r="S576" s="134"/>
      <c r="T576" s="135">
        <v>2208183676</v>
      </c>
      <c r="U576" s="135"/>
      <c r="V576" s="136" t="s">
        <v>618</v>
      </c>
      <c r="W576" s="136"/>
      <c r="X576" s="129">
        <v>-17210</v>
      </c>
      <c r="Y576" s="129"/>
      <c r="Z576" s="129">
        <v>-17210</v>
      </c>
      <c r="AA576" s="129"/>
      <c r="AB576" s="129"/>
      <c r="AC576" s="129"/>
      <c r="AD576" s="129">
        <v>0</v>
      </c>
      <c r="AE576" s="129"/>
      <c r="AF576" s="129"/>
      <c r="AG576" s="129"/>
      <c r="AH576" s="129"/>
      <c r="AI576" s="129">
        <v>0</v>
      </c>
      <c r="AJ576" s="129"/>
      <c r="AK576" s="129"/>
    </row>
    <row r="577" spans="3:37" ht="14.85" customHeight="1" x14ac:dyDescent="0.15">
      <c r="C577" s="132">
        <v>44588</v>
      </c>
      <c r="D577" s="132"/>
      <c r="E577" s="132">
        <v>44595</v>
      </c>
      <c r="F577" s="132"/>
      <c r="G577" s="132"/>
      <c r="H577" s="132"/>
      <c r="I577" s="133" t="s">
        <v>665</v>
      </c>
      <c r="J577" s="133"/>
      <c r="K577" s="133"/>
      <c r="L577" s="133"/>
      <c r="M577" s="133"/>
      <c r="N577" s="134" t="s">
        <v>664</v>
      </c>
      <c r="O577" s="134"/>
      <c r="P577" s="134" t="s">
        <v>684</v>
      </c>
      <c r="Q577" s="134"/>
      <c r="R577" s="134"/>
      <c r="S577" s="134"/>
      <c r="T577" s="135">
        <v>2208183676</v>
      </c>
      <c r="U577" s="135"/>
      <c r="V577" s="136" t="s">
        <v>618</v>
      </c>
      <c r="W577" s="136"/>
      <c r="X577" s="129">
        <v>-2500</v>
      </c>
      <c r="Y577" s="129"/>
      <c r="Z577" s="129">
        <v>-2500</v>
      </c>
      <c r="AA577" s="129"/>
      <c r="AB577" s="129"/>
      <c r="AC577" s="129"/>
      <c r="AD577" s="129">
        <v>0</v>
      </c>
      <c r="AE577" s="129"/>
      <c r="AF577" s="129"/>
      <c r="AG577" s="129"/>
      <c r="AH577" s="129"/>
      <c r="AI577" s="129">
        <v>0</v>
      </c>
      <c r="AJ577" s="129"/>
      <c r="AK577" s="129"/>
    </row>
    <row r="578" spans="3:37" ht="14.85" customHeight="1" x14ac:dyDescent="0.15">
      <c r="C578" s="132">
        <v>44595</v>
      </c>
      <c r="D578" s="132"/>
      <c r="E578" s="132">
        <v>44596</v>
      </c>
      <c r="F578" s="132"/>
      <c r="G578" s="132"/>
      <c r="H578" s="132"/>
      <c r="I578" s="133" t="s">
        <v>665</v>
      </c>
      <c r="J578" s="133"/>
      <c r="K578" s="133"/>
      <c r="L578" s="133"/>
      <c r="M578" s="133"/>
      <c r="N578" s="134" t="s">
        <v>664</v>
      </c>
      <c r="O578" s="134"/>
      <c r="P578" s="134" t="s">
        <v>681</v>
      </c>
      <c r="Q578" s="134"/>
      <c r="R578" s="134"/>
      <c r="S578" s="134"/>
      <c r="T578" s="135">
        <v>1168119477</v>
      </c>
      <c r="U578" s="135"/>
      <c r="V578" s="136" t="s">
        <v>618</v>
      </c>
      <c r="W578" s="136"/>
      <c r="X578" s="129">
        <v>700</v>
      </c>
      <c r="Y578" s="129"/>
      <c r="Z578" s="129">
        <v>700</v>
      </c>
      <c r="AA578" s="129"/>
      <c r="AB578" s="129"/>
      <c r="AC578" s="129"/>
      <c r="AD578" s="129">
        <v>0</v>
      </c>
      <c r="AE578" s="129"/>
      <c r="AF578" s="129"/>
      <c r="AG578" s="129"/>
      <c r="AH578" s="129"/>
      <c r="AI578" s="129">
        <v>0</v>
      </c>
      <c r="AJ578" s="129"/>
      <c r="AK578" s="129"/>
    </row>
    <row r="579" spans="3:37" ht="14.85" customHeight="1" x14ac:dyDescent="0.15">
      <c r="C579" s="132">
        <v>44561</v>
      </c>
      <c r="D579" s="132"/>
      <c r="E579" s="132">
        <v>44596</v>
      </c>
      <c r="F579" s="132"/>
      <c r="G579" s="132"/>
      <c r="H579" s="132"/>
      <c r="I579" s="133" t="s">
        <v>621</v>
      </c>
      <c r="J579" s="133"/>
      <c r="K579" s="133"/>
      <c r="L579" s="133"/>
      <c r="M579" s="133"/>
      <c r="N579" s="134" t="s">
        <v>620</v>
      </c>
      <c r="O579" s="134"/>
      <c r="P579" s="134" t="s">
        <v>640</v>
      </c>
      <c r="Q579" s="134"/>
      <c r="R579" s="134"/>
      <c r="S579" s="134"/>
      <c r="T579" s="135">
        <v>2028148079</v>
      </c>
      <c r="U579" s="135"/>
      <c r="V579" s="136" t="s">
        <v>618</v>
      </c>
      <c r="W579" s="136"/>
      <c r="X579" s="129">
        <v>200</v>
      </c>
      <c r="Y579" s="129"/>
      <c r="Z579" s="129">
        <v>200</v>
      </c>
      <c r="AA579" s="129"/>
      <c r="AB579" s="129"/>
      <c r="AC579" s="129"/>
      <c r="AD579" s="129">
        <v>0</v>
      </c>
      <c r="AE579" s="129"/>
      <c r="AF579" s="129"/>
      <c r="AG579" s="129"/>
      <c r="AH579" s="129"/>
      <c r="AI579" s="129">
        <v>0</v>
      </c>
      <c r="AJ579" s="129"/>
      <c r="AK579" s="129"/>
    </row>
    <row r="580" spans="3:37" ht="14.85" customHeight="1" x14ac:dyDescent="0.15">
      <c r="C580" s="132">
        <v>44596</v>
      </c>
      <c r="D580" s="132"/>
      <c r="E580" s="132">
        <v>44597</v>
      </c>
      <c r="F580" s="132"/>
      <c r="G580" s="132"/>
      <c r="H580" s="132"/>
      <c r="I580" s="133" t="s">
        <v>665</v>
      </c>
      <c r="J580" s="133"/>
      <c r="K580" s="133"/>
      <c r="L580" s="133"/>
      <c r="M580" s="133"/>
      <c r="N580" s="134" t="s">
        <v>664</v>
      </c>
      <c r="O580" s="134"/>
      <c r="P580" s="134" t="s">
        <v>683</v>
      </c>
      <c r="Q580" s="134"/>
      <c r="R580" s="134"/>
      <c r="S580" s="134"/>
      <c r="T580" s="135">
        <v>1428124116</v>
      </c>
      <c r="U580" s="135"/>
      <c r="V580" s="136" t="s">
        <v>618</v>
      </c>
      <c r="W580" s="136"/>
      <c r="X580" s="129">
        <v>4400</v>
      </c>
      <c r="Y580" s="129"/>
      <c r="Z580" s="129">
        <v>4000</v>
      </c>
      <c r="AA580" s="129"/>
      <c r="AB580" s="129"/>
      <c r="AC580" s="129"/>
      <c r="AD580" s="129">
        <v>400</v>
      </c>
      <c r="AE580" s="129"/>
      <c r="AF580" s="129"/>
      <c r="AG580" s="129"/>
      <c r="AH580" s="129"/>
      <c r="AI580" s="129">
        <v>0</v>
      </c>
      <c r="AJ580" s="129"/>
      <c r="AK580" s="129"/>
    </row>
    <row r="581" spans="3:37" ht="14.85" customHeight="1" x14ac:dyDescent="0.15">
      <c r="C581" s="132">
        <v>44597</v>
      </c>
      <c r="D581" s="132"/>
      <c r="E581" s="132">
        <v>44599</v>
      </c>
      <c r="F581" s="132"/>
      <c r="G581" s="132"/>
      <c r="H581" s="132"/>
      <c r="I581" s="133" t="s">
        <v>665</v>
      </c>
      <c r="J581" s="133"/>
      <c r="K581" s="133"/>
      <c r="L581" s="133"/>
      <c r="M581" s="133"/>
      <c r="N581" s="134" t="s">
        <v>664</v>
      </c>
      <c r="O581" s="134"/>
      <c r="P581" s="134" t="s">
        <v>682</v>
      </c>
      <c r="Q581" s="134"/>
      <c r="R581" s="134"/>
      <c r="S581" s="134"/>
      <c r="T581" s="135">
        <v>1058177410</v>
      </c>
      <c r="U581" s="135"/>
      <c r="V581" s="136" t="s">
        <v>622</v>
      </c>
      <c r="W581" s="136"/>
      <c r="X581" s="129">
        <v>800</v>
      </c>
      <c r="Y581" s="129"/>
      <c r="Z581" s="129">
        <v>800</v>
      </c>
      <c r="AA581" s="129"/>
      <c r="AB581" s="129"/>
      <c r="AC581" s="129"/>
      <c r="AD581" s="129">
        <v>0</v>
      </c>
      <c r="AE581" s="129"/>
      <c r="AF581" s="129"/>
      <c r="AG581" s="129"/>
      <c r="AH581" s="129"/>
      <c r="AI581" s="129">
        <v>0</v>
      </c>
      <c r="AJ581" s="129"/>
      <c r="AK581" s="129"/>
    </row>
    <row r="582" spans="3:37" ht="14.85" customHeight="1" x14ac:dyDescent="0.15">
      <c r="C582" s="132">
        <v>44596</v>
      </c>
      <c r="D582" s="132"/>
      <c r="E582" s="132">
        <v>44598</v>
      </c>
      <c r="F582" s="132"/>
      <c r="G582" s="132"/>
      <c r="H582" s="132"/>
      <c r="I582" s="133" t="s">
        <v>665</v>
      </c>
      <c r="J582" s="133"/>
      <c r="K582" s="133"/>
      <c r="L582" s="133"/>
      <c r="M582" s="133"/>
      <c r="N582" s="134" t="s">
        <v>664</v>
      </c>
      <c r="O582" s="134"/>
      <c r="P582" s="134" t="s">
        <v>639</v>
      </c>
      <c r="Q582" s="134"/>
      <c r="R582" s="134"/>
      <c r="S582" s="134"/>
      <c r="T582" s="135">
        <v>1298200103</v>
      </c>
      <c r="U582" s="135"/>
      <c r="V582" s="136" t="s">
        <v>618</v>
      </c>
      <c r="W582" s="136"/>
      <c r="X582" s="129">
        <v>900</v>
      </c>
      <c r="Y582" s="129"/>
      <c r="Z582" s="129">
        <v>900</v>
      </c>
      <c r="AA582" s="129"/>
      <c r="AB582" s="129"/>
      <c r="AC582" s="129"/>
      <c r="AD582" s="129">
        <v>0</v>
      </c>
      <c r="AE582" s="129"/>
      <c r="AF582" s="129"/>
      <c r="AG582" s="129"/>
      <c r="AH582" s="129"/>
      <c r="AI582" s="129">
        <v>0</v>
      </c>
      <c r="AJ582" s="129"/>
      <c r="AK582" s="129"/>
    </row>
    <row r="583" spans="3:37" ht="14.85" customHeight="1" x14ac:dyDescent="0.15">
      <c r="C583" s="132">
        <v>44598</v>
      </c>
      <c r="D583" s="132"/>
      <c r="E583" s="132">
        <v>44599</v>
      </c>
      <c r="F583" s="132"/>
      <c r="G583" s="132"/>
      <c r="H583" s="132"/>
      <c r="I583" s="133" t="s">
        <v>665</v>
      </c>
      <c r="J583" s="133"/>
      <c r="K583" s="133"/>
      <c r="L583" s="133"/>
      <c r="M583" s="133"/>
      <c r="N583" s="134" t="s">
        <v>664</v>
      </c>
      <c r="O583" s="134"/>
      <c r="P583" s="134" t="s">
        <v>681</v>
      </c>
      <c r="Q583" s="134"/>
      <c r="R583" s="134"/>
      <c r="S583" s="134"/>
      <c r="T583" s="135">
        <v>1168119477</v>
      </c>
      <c r="U583" s="135"/>
      <c r="V583" s="136" t="s">
        <v>618</v>
      </c>
      <c r="W583" s="136"/>
      <c r="X583" s="129">
        <v>700</v>
      </c>
      <c r="Y583" s="129"/>
      <c r="Z583" s="129">
        <v>700</v>
      </c>
      <c r="AA583" s="129"/>
      <c r="AB583" s="129"/>
      <c r="AC583" s="129"/>
      <c r="AD583" s="129">
        <v>0</v>
      </c>
      <c r="AE583" s="129"/>
      <c r="AF583" s="129"/>
      <c r="AG583" s="129"/>
      <c r="AH583" s="129"/>
      <c r="AI583" s="129">
        <v>0</v>
      </c>
      <c r="AJ583" s="129"/>
      <c r="AK583" s="129"/>
    </row>
    <row r="584" spans="3:37" ht="14.85" customHeight="1" x14ac:dyDescent="0.15">
      <c r="C584" s="132">
        <v>44596</v>
      </c>
      <c r="D584" s="132"/>
      <c r="E584" s="132">
        <v>44600</v>
      </c>
      <c r="F584" s="132"/>
      <c r="G584" s="132"/>
      <c r="H584" s="132"/>
      <c r="I584" s="133" t="s">
        <v>665</v>
      </c>
      <c r="J584" s="133"/>
      <c r="K584" s="133"/>
      <c r="L584" s="133"/>
      <c r="M584" s="133"/>
      <c r="N584" s="134" t="s">
        <v>664</v>
      </c>
      <c r="O584" s="134"/>
      <c r="P584" s="134" t="s">
        <v>680</v>
      </c>
      <c r="Q584" s="134"/>
      <c r="R584" s="134"/>
      <c r="S584" s="134"/>
      <c r="T584" s="135">
        <v>1048183559</v>
      </c>
      <c r="U584" s="135"/>
      <c r="V584" s="136" t="s">
        <v>618</v>
      </c>
      <c r="W584" s="136"/>
      <c r="X584" s="129">
        <v>1700</v>
      </c>
      <c r="Y584" s="129"/>
      <c r="Z584" s="129">
        <v>1700</v>
      </c>
      <c r="AA584" s="129"/>
      <c r="AB584" s="129"/>
      <c r="AC584" s="129"/>
      <c r="AD584" s="129">
        <v>0</v>
      </c>
      <c r="AE584" s="129"/>
      <c r="AF584" s="129"/>
      <c r="AG584" s="129"/>
      <c r="AH584" s="129"/>
      <c r="AI584" s="129">
        <v>0</v>
      </c>
      <c r="AJ584" s="129"/>
      <c r="AK584" s="129"/>
    </row>
    <row r="585" spans="3:37" ht="29.65" customHeight="1" x14ac:dyDescent="0.15">
      <c r="V585" s="137" t="s">
        <v>617</v>
      </c>
      <c r="W585" s="137"/>
    </row>
    <row r="586" spans="3:37" ht="14.85" customHeight="1" x14ac:dyDescent="0.15">
      <c r="C586" s="132">
        <v>44596</v>
      </c>
      <c r="D586" s="132"/>
      <c r="E586" s="132">
        <v>44600</v>
      </c>
      <c r="F586" s="132"/>
      <c r="G586" s="132"/>
      <c r="H586" s="132"/>
      <c r="I586" s="133" t="s">
        <v>665</v>
      </c>
      <c r="J586" s="133"/>
      <c r="K586" s="133"/>
      <c r="L586" s="133"/>
      <c r="M586" s="133"/>
      <c r="N586" s="134" t="s">
        <v>664</v>
      </c>
      <c r="O586" s="134"/>
      <c r="P586" s="134" t="s">
        <v>680</v>
      </c>
      <c r="Q586" s="134"/>
      <c r="R586" s="134"/>
      <c r="S586" s="134"/>
      <c r="T586" s="135">
        <v>1048183559</v>
      </c>
      <c r="U586" s="135"/>
      <c r="V586" s="136" t="s">
        <v>618</v>
      </c>
      <c r="W586" s="136"/>
      <c r="X586" s="129">
        <v>1700</v>
      </c>
      <c r="Y586" s="129"/>
      <c r="Z586" s="129">
        <v>1700</v>
      </c>
      <c r="AA586" s="129"/>
      <c r="AB586" s="129"/>
      <c r="AC586" s="129"/>
      <c r="AD586" s="129">
        <v>0</v>
      </c>
      <c r="AE586" s="129"/>
      <c r="AF586" s="129"/>
      <c r="AG586" s="129"/>
      <c r="AH586" s="129"/>
      <c r="AI586" s="129">
        <v>0</v>
      </c>
      <c r="AJ586" s="129"/>
      <c r="AK586" s="129"/>
    </row>
    <row r="587" spans="3:37" ht="14.85" customHeight="1" x14ac:dyDescent="0.15">
      <c r="C587" s="132">
        <v>44605</v>
      </c>
      <c r="D587" s="132"/>
      <c r="E587" s="132">
        <v>44602</v>
      </c>
      <c r="F587" s="132"/>
      <c r="G587" s="132"/>
      <c r="H587" s="132"/>
      <c r="I587" s="133" t="s">
        <v>621</v>
      </c>
      <c r="J587" s="133"/>
      <c r="K587" s="133"/>
      <c r="L587" s="133"/>
      <c r="M587" s="133"/>
      <c r="N587" s="134" t="s">
        <v>620</v>
      </c>
      <c r="O587" s="134"/>
      <c r="P587" s="134" t="s">
        <v>666</v>
      </c>
      <c r="Q587" s="134"/>
      <c r="R587" s="134"/>
      <c r="S587" s="134"/>
      <c r="T587" s="135">
        <v>2208139938</v>
      </c>
      <c r="U587" s="135"/>
      <c r="V587" s="136" t="s">
        <v>618</v>
      </c>
      <c r="W587" s="136"/>
      <c r="X587" s="129">
        <v>95030</v>
      </c>
      <c r="Y587" s="129"/>
      <c r="Z587" s="129">
        <v>95030</v>
      </c>
      <c r="AA587" s="129"/>
      <c r="AB587" s="129"/>
      <c r="AC587" s="129"/>
      <c r="AD587" s="129">
        <v>0</v>
      </c>
      <c r="AE587" s="129"/>
      <c r="AF587" s="129"/>
      <c r="AG587" s="129"/>
      <c r="AH587" s="129"/>
      <c r="AI587" s="129">
        <v>0</v>
      </c>
      <c r="AJ587" s="129"/>
      <c r="AK587" s="129"/>
    </row>
    <row r="588" spans="3:37" ht="14.85" customHeight="1" x14ac:dyDescent="0.15">
      <c r="C588" s="132">
        <v>44605</v>
      </c>
      <c r="D588" s="132"/>
      <c r="E588" s="132">
        <v>44602</v>
      </c>
      <c r="F588" s="132"/>
      <c r="G588" s="132"/>
      <c r="H588" s="132"/>
      <c r="I588" s="133" t="s">
        <v>621</v>
      </c>
      <c r="J588" s="133"/>
      <c r="K588" s="133"/>
      <c r="L588" s="133"/>
      <c r="M588" s="133"/>
      <c r="N588" s="134" t="s">
        <v>620</v>
      </c>
      <c r="O588" s="134"/>
      <c r="P588" s="134" t="s">
        <v>636</v>
      </c>
      <c r="Q588" s="134"/>
      <c r="R588" s="134"/>
      <c r="S588" s="134"/>
      <c r="T588" s="135">
        <v>2208139938</v>
      </c>
      <c r="U588" s="135"/>
      <c r="V588" s="136" t="s">
        <v>618</v>
      </c>
      <c r="W588" s="136"/>
      <c r="X588" s="129">
        <v>17520</v>
      </c>
      <c r="Y588" s="129"/>
      <c r="Z588" s="129">
        <v>17520</v>
      </c>
      <c r="AA588" s="129"/>
      <c r="AB588" s="129"/>
      <c r="AC588" s="129"/>
      <c r="AD588" s="129">
        <v>0</v>
      </c>
      <c r="AE588" s="129"/>
      <c r="AF588" s="129"/>
      <c r="AG588" s="129"/>
      <c r="AH588" s="129"/>
      <c r="AI588" s="129">
        <v>0</v>
      </c>
      <c r="AJ588" s="129"/>
      <c r="AK588" s="129"/>
    </row>
    <row r="589" spans="3:37" ht="14.85" customHeight="1" x14ac:dyDescent="0.15">
      <c r="C589" s="132">
        <v>44601</v>
      </c>
      <c r="D589" s="132"/>
      <c r="E589" s="132">
        <v>44603</v>
      </c>
      <c r="F589" s="132"/>
      <c r="G589" s="132"/>
      <c r="H589" s="132"/>
      <c r="I589" s="133" t="s">
        <v>621</v>
      </c>
      <c r="J589" s="133"/>
      <c r="K589" s="133"/>
      <c r="L589" s="133"/>
      <c r="M589" s="133"/>
      <c r="N589" s="134" t="s">
        <v>620</v>
      </c>
      <c r="O589" s="134"/>
      <c r="P589" s="134" t="s">
        <v>670</v>
      </c>
      <c r="Q589" s="134"/>
      <c r="R589" s="134"/>
      <c r="S589" s="134"/>
      <c r="T589" s="135">
        <v>1058177410</v>
      </c>
      <c r="U589" s="135"/>
      <c r="V589" s="136" t="s">
        <v>622</v>
      </c>
      <c r="W589" s="136"/>
      <c r="X589" s="129">
        <v>800</v>
      </c>
      <c r="Y589" s="129"/>
      <c r="Z589" s="129">
        <v>800</v>
      </c>
      <c r="AA589" s="129"/>
      <c r="AB589" s="129"/>
      <c r="AC589" s="129"/>
      <c r="AD589" s="129">
        <v>0</v>
      </c>
      <c r="AE589" s="129"/>
      <c r="AF589" s="129"/>
      <c r="AG589" s="129"/>
      <c r="AH589" s="129"/>
      <c r="AI589" s="129">
        <v>0</v>
      </c>
      <c r="AJ589" s="129"/>
      <c r="AK589" s="129"/>
    </row>
    <row r="590" spans="3:37" ht="14.85" customHeight="1" x14ac:dyDescent="0.15">
      <c r="C590" s="132">
        <v>44606</v>
      </c>
      <c r="D590" s="132"/>
      <c r="E590" s="132">
        <v>44607</v>
      </c>
      <c r="F590" s="132"/>
      <c r="G590" s="132"/>
      <c r="H590" s="132"/>
      <c r="I590" s="133" t="s">
        <v>665</v>
      </c>
      <c r="J590" s="133"/>
      <c r="K590" s="133"/>
      <c r="L590" s="133"/>
      <c r="M590" s="133"/>
      <c r="N590" s="134" t="s">
        <v>664</v>
      </c>
      <c r="O590" s="134"/>
      <c r="P590" s="134" t="s">
        <v>671</v>
      </c>
      <c r="Q590" s="134"/>
      <c r="R590" s="134"/>
      <c r="S590" s="134"/>
      <c r="T590" s="135">
        <v>1058765162</v>
      </c>
      <c r="U590" s="135"/>
      <c r="V590" s="136" t="s">
        <v>618</v>
      </c>
      <c r="W590" s="136"/>
      <c r="X590" s="129">
        <v>19800</v>
      </c>
      <c r="Y590" s="129"/>
      <c r="Z590" s="129">
        <v>19800</v>
      </c>
      <c r="AA590" s="129"/>
      <c r="AB590" s="129"/>
      <c r="AC590" s="129"/>
      <c r="AD590" s="129">
        <v>0</v>
      </c>
      <c r="AE590" s="129"/>
      <c r="AF590" s="129"/>
      <c r="AG590" s="129"/>
      <c r="AH590" s="129"/>
      <c r="AI590" s="129">
        <v>0</v>
      </c>
      <c r="AJ590" s="129"/>
      <c r="AK590" s="129"/>
    </row>
    <row r="591" spans="3:37" ht="14.85" customHeight="1" x14ac:dyDescent="0.15">
      <c r="C591" s="132">
        <v>44607</v>
      </c>
      <c r="D591" s="132"/>
      <c r="E591" s="132">
        <v>44607</v>
      </c>
      <c r="F591" s="132"/>
      <c r="G591" s="132"/>
      <c r="H591" s="132"/>
      <c r="I591" s="133" t="s">
        <v>621</v>
      </c>
      <c r="J591" s="133"/>
      <c r="K591" s="133"/>
      <c r="L591" s="133"/>
      <c r="M591" s="133"/>
      <c r="N591" s="134" t="s">
        <v>620</v>
      </c>
      <c r="O591" s="134"/>
      <c r="P591" s="134" t="s">
        <v>679</v>
      </c>
      <c r="Q591" s="134"/>
      <c r="R591" s="134"/>
      <c r="S591" s="134"/>
      <c r="T591" s="135">
        <v>1208200052</v>
      </c>
      <c r="U591" s="135"/>
      <c r="V591" s="136" t="s">
        <v>618</v>
      </c>
      <c r="W591" s="136"/>
      <c r="X591" s="129">
        <v>88940</v>
      </c>
      <c r="Y591" s="129"/>
      <c r="Z591" s="129">
        <v>88940</v>
      </c>
      <c r="AA591" s="129"/>
      <c r="AB591" s="129"/>
      <c r="AC591" s="129"/>
      <c r="AD591" s="129">
        <v>0</v>
      </c>
      <c r="AE591" s="129"/>
      <c r="AF591" s="129"/>
      <c r="AG591" s="129"/>
      <c r="AH591" s="129"/>
      <c r="AI591" s="129">
        <v>0</v>
      </c>
      <c r="AJ591" s="129"/>
      <c r="AK591" s="129"/>
    </row>
    <row r="592" spans="3:37" ht="14.85" customHeight="1" x14ac:dyDescent="0.15">
      <c r="C592" s="132">
        <v>44607</v>
      </c>
      <c r="D592" s="132"/>
      <c r="E592" s="132">
        <v>44607</v>
      </c>
      <c r="F592" s="132"/>
      <c r="G592" s="132"/>
      <c r="H592" s="132"/>
      <c r="I592" s="133" t="s">
        <v>621</v>
      </c>
      <c r="J592" s="133"/>
      <c r="K592" s="133"/>
      <c r="L592" s="133"/>
      <c r="M592" s="133"/>
      <c r="N592" s="134" t="s">
        <v>620</v>
      </c>
      <c r="O592" s="134"/>
      <c r="P592" s="134" t="s">
        <v>678</v>
      </c>
      <c r="Q592" s="134"/>
      <c r="R592" s="134"/>
      <c r="S592" s="134"/>
      <c r="T592" s="135">
        <v>1208200052</v>
      </c>
      <c r="U592" s="135"/>
      <c r="V592" s="136" t="s">
        <v>618</v>
      </c>
      <c r="W592" s="136"/>
      <c r="X592" s="129">
        <v>82780</v>
      </c>
      <c r="Y592" s="129"/>
      <c r="Z592" s="129">
        <v>82780</v>
      </c>
      <c r="AA592" s="129"/>
      <c r="AB592" s="129"/>
      <c r="AC592" s="129"/>
      <c r="AD592" s="129">
        <v>0</v>
      </c>
      <c r="AE592" s="129"/>
      <c r="AF592" s="129"/>
      <c r="AG592" s="129"/>
      <c r="AH592" s="129"/>
      <c r="AI592" s="129">
        <v>0</v>
      </c>
      <c r="AJ592" s="129"/>
      <c r="AK592" s="129"/>
    </row>
    <row r="593" spans="3:37" ht="14.85" customHeight="1" x14ac:dyDescent="0.15">
      <c r="C593" s="132">
        <v>44607</v>
      </c>
      <c r="D593" s="132"/>
      <c r="E593" s="132">
        <v>44609</v>
      </c>
      <c r="F593" s="132"/>
      <c r="G593" s="132"/>
      <c r="H593" s="132"/>
      <c r="I593" s="133" t="s">
        <v>665</v>
      </c>
      <c r="J593" s="133"/>
      <c r="K593" s="133"/>
      <c r="L593" s="133"/>
      <c r="M593" s="133"/>
      <c r="N593" s="134" t="s">
        <v>664</v>
      </c>
      <c r="O593" s="134"/>
      <c r="P593" s="134" t="s">
        <v>677</v>
      </c>
      <c r="Q593" s="134"/>
      <c r="R593" s="134"/>
      <c r="S593" s="134"/>
      <c r="T593" s="135">
        <v>1058177410</v>
      </c>
      <c r="U593" s="135"/>
      <c r="V593" s="136" t="s">
        <v>622</v>
      </c>
      <c r="W593" s="136"/>
      <c r="X593" s="129">
        <v>800</v>
      </c>
      <c r="Y593" s="129"/>
      <c r="Z593" s="129">
        <v>800</v>
      </c>
      <c r="AA593" s="129"/>
      <c r="AB593" s="129"/>
      <c r="AC593" s="129"/>
      <c r="AD593" s="129">
        <v>0</v>
      </c>
      <c r="AE593" s="129"/>
      <c r="AF593" s="129"/>
      <c r="AG593" s="129"/>
      <c r="AH593" s="129"/>
      <c r="AI593" s="129">
        <v>0</v>
      </c>
      <c r="AJ593" s="129"/>
      <c r="AK593" s="129"/>
    </row>
    <row r="594" spans="3:37" ht="14.85" customHeight="1" x14ac:dyDescent="0.15">
      <c r="C594" s="132">
        <v>44613</v>
      </c>
      <c r="D594" s="132"/>
      <c r="E594" s="132">
        <v>44614</v>
      </c>
      <c r="F594" s="132"/>
      <c r="G594" s="132"/>
      <c r="H594" s="132"/>
      <c r="I594" s="133" t="s">
        <v>621</v>
      </c>
      <c r="J594" s="133"/>
      <c r="K594" s="133"/>
      <c r="L594" s="133"/>
      <c r="M594" s="133"/>
      <c r="N594" s="134" t="s">
        <v>620</v>
      </c>
      <c r="O594" s="134"/>
      <c r="P594" s="134" t="s">
        <v>658</v>
      </c>
      <c r="Q594" s="134"/>
      <c r="R594" s="134"/>
      <c r="S594" s="134"/>
      <c r="T594" s="135">
        <v>1119100176</v>
      </c>
      <c r="U594" s="135"/>
      <c r="V594" s="136" t="s">
        <v>626</v>
      </c>
      <c r="W594" s="136"/>
      <c r="X594" s="129">
        <v>35200</v>
      </c>
      <c r="Y594" s="129"/>
      <c r="Z594" s="129">
        <v>35200</v>
      </c>
      <c r="AA594" s="129"/>
      <c r="AB594" s="129"/>
      <c r="AC594" s="129"/>
      <c r="AD594" s="129">
        <v>0</v>
      </c>
      <c r="AE594" s="129"/>
      <c r="AF594" s="129"/>
      <c r="AG594" s="129"/>
      <c r="AH594" s="129"/>
      <c r="AI594" s="129">
        <v>0</v>
      </c>
      <c r="AJ594" s="129"/>
      <c r="AK594" s="129"/>
    </row>
    <row r="595" spans="3:37" ht="14.85" customHeight="1" x14ac:dyDescent="0.15">
      <c r="C595" s="132">
        <v>44614</v>
      </c>
      <c r="D595" s="132"/>
      <c r="E595" s="132">
        <v>44615</v>
      </c>
      <c r="F595" s="132"/>
      <c r="G595" s="132"/>
      <c r="H595" s="132"/>
      <c r="I595" s="133" t="s">
        <v>621</v>
      </c>
      <c r="J595" s="133"/>
      <c r="K595" s="133"/>
      <c r="L595" s="133"/>
      <c r="M595" s="133"/>
      <c r="N595" s="134" t="s">
        <v>620</v>
      </c>
      <c r="O595" s="134"/>
      <c r="P595" s="134" t="s">
        <v>676</v>
      </c>
      <c r="Q595" s="134"/>
      <c r="R595" s="134"/>
      <c r="S595" s="134"/>
      <c r="T595" s="135">
        <v>1318517286</v>
      </c>
      <c r="U595" s="135"/>
      <c r="V595" s="136" t="s">
        <v>618</v>
      </c>
      <c r="W595" s="136"/>
      <c r="X595" s="129">
        <v>89800</v>
      </c>
      <c r="Y595" s="129"/>
      <c r="Z595" s="129">
        <v>89800</v>
      </c>
      <c r="AA595" s="129"/>
      <c r="AB595" s="129"/>
      <c r="AC595" s="129"/>
      <c r="AD595" s="129">
        <v>0</v>
      </c>
      <c r="AE595" s="129"/>
      <c r="AF595" s="129"/>
      <c r="AG595" s="129"/>
      <c r="AH595" s="129"/>
      <c r="AI595" s="129">
        <v>0</v>
      </c>
      <c r="AJ595" s="129"/>
      <c r="AK595" s="129"/>
    </row>
    <row r="596" spans="3:37" ht="14.85" customHeight="1" x14ac:dyDescent="0.15">
      <c r="C596" s="132">
        <v>44614</v>
      </c>
      <c r="D596" s="132"/>
      <c r="E596" s="132">
        <v>44615</v>
      </c>
      <c r="F596" s="132"/>
      <c r="G596" s="132"/>
      <c r="H596" s="132"/>
      <c r="I596" s="133" t="s">
        <v>665</v>
      </c>
      <c r="J596" s="133"/>
      <c r="K596" s="133"/>
      <c r="L596" s="133"/>
      <c r="M596" s="133"/>
      <c r="N596" s="134" t="s">
        <v>664</v>
      </c>
      <c r="O596" s="134"/>
      <c r="P596" s="134" t="s">
        <v>671</v>
      </c>
      <c r="Q596" s="134"/>
      <c r="R596" s="134"/>
      <c r="S596" s="134"/>
      <c r="T596" s="135">
        <v>1058765162</v>
      </c>
      <c r="U596" s="135"/>
      <c r="V596" s="136" t="s">
        <v>618</v>
      </c>
      <c r="W596" s="136"/>
      <c r="X596" s="129">
        <v>37600</v>
      </c>
      <c r="Y596" s="129"/>
      <c r="Z596" s="129">
        <v>37600</v>
      </c>
      <c r="AA596" s="129"/>
      <c r="AB596" s="129"/>
      <c r="AC596" s="129"/>
      <c r="AD596" s="129">
        <v>0</v>
      </c>
      <c r="AE596" s="129"/>
      <c r="AF596" s="129"/>
      <c r="AG596" s="129"/>
      <c r="AH596" s="129"/>
      <c r="AI596" s="129">
        <v>0</v>
      </c>
      <c r="AJ596" s="129"/>
      <c r="AK596" s="129"/>
    </row>
    <row r="597" spans="3:37" ht="14.85" customHeight="1" x14ac:dyDescent="0.15">
      <c r="C597" s="132">
        <v>44616</v>
      </c>
      <c r="D597" s="132"/>
      <c r="E597" s="132">
        <v>44617</v>
      </c>
      <c r="F597" s="132"/>
      <c r="G597" s="132"/>
      <c r="H597" s="132"/>
      <c r="I597" s="133" t="s">
        <v>621</v>
      </c>
      <c r="J597" s="133"/>
      <c r="K597" s="133"/>
      <c r="L597" s="133"/>
      <c r="M597" s="133"/>
      <c r="N597" s="134" t="s">
        <v>630</v>
      </c>
      <c r="O597" s="134"/>
      <c r="P597" s="134" t="s">
        <v>675</v>
      </c>
      <c r="Q597" s="134"/>
      <c r="R597" s="134"/>
      <c r="S597" s="134"/>
      <c r="T597" s="135">
        <v>2208201439</v>
      </c>
      <c r="U597" s="135"/>
      <c r="V597" s="136" t="s">
        <v>626</v>
      </c>
      <c r="W597" s="136"/>
      <c r="X597" s="129">
        <v>504000</v>
      </c>
      <c r="Y597" s="129"/>
      <c r="Z597" s="129">
        <v>500000</v>
      </c>
      <c r="AA597" s="129"/>
      <c r="AB597" s="129"/>
      <c r="AC597" s="129"/>
      <c r="AD597" s="129">
        <v>4000</v>
      </c>
      <c r="AE597" s="129"/>
      <c r="AF597" s="129"/>
      <c r="AG597" s="129"/>
      <c r="AH597" s="129"/>
      <c r="AI597" s="129">
        <v>0</v>
      </c>
      <c r="AJ597" s="129"/>
      <c r="AK597" s="129"/>
    </row>
    <row r="598" spans="3:37" ht="14.85" customHeight="1" x14ac:dyDescent="0.15">
      <c r="C598" s="132">
        <v>44616</v>
      </c>
      <c r="D598" s="132"/>
      <c r="E598" s="132">
        <v>44617</v>
      </c>
      <c r="F598" s="132"/>
      <c r="G598" s="132"/>
      <c r="H598" s="132"/>
      <c r="I598" s="133" t="s">
        <v>621</v>
      </c>
      <c r="J598" s="133"/>
      <c r="K598" s="133"/>
      <c r="L598" s="133"/>
      <c r="M598" s="133"/>
      <c r="N598" s="134" t="s">
        <v>630</v>
      </c>
      <c r="O598" s="134"/>
      <c r="P598" s="134" t="s">
        <v>674</v>
      </c>
      <c r="Q598" s="134"/>
      <c r="R598" s="134"/>
      <c r="S598" s="134"/>
      <c r="T598" s="135">
        <v>2208201439</v>
      </c>
      <c r="U598" s="135"/>
      <c r="V598" s="136" t="s">
        <v>626</v>
      </c>
      <c r="W598" s="136"/>
      <c r="X598" s="129">
        <v>164180</v>
      </c>
      <c r="Y598" s="129"/>
      <c r="Z598" s="129">
        <v>164180</v>
      </c>
      <c r="AA598" s="129"/>
      <c r="AB598" s="129"/>
      <c r="AC598" s="129"/>
      <c r="AD598" s="129">
        <v>0</v>
      </c>
      <c r="AE598" s="129"/>
      <c r="AF598" s="129"/>
      <c r="AG598" s="129"/>
      <c r="AH598" s="129"/>
      <c r="AI598" s="129">
        <v>0</v>
      </c>
      <c r="AJ598" s="129"/>
      <c r="AK598" s="129"/>
    </row>
    <row r="599" spans="3:37" ht="14.85" customHeight="1" x14ac:dyDescent="0.15">
      <c r="C599" s="132">
        <v>44617</v>
      </c>
      <c r="D599" s="132"/>
      <c r="E599" s="132">
        <v>44618</v>
      </c>
      <c r="F599" s="132"/>
      <c r="G599" s="132"/>
      <c r="H599" s="132"/>
      <c r="I599" s="133" t="s">
        <v>621</v>
      </c>
      <c r="J599" s="133"/>
      <c r="K599" s="133"/>
      <c r="L599" s="133"/>
      <c r="M599" s="133"/>
      <c r="N599" s="134" t="s">
        <v>620</v>
      </c>
      <c r="O599" s="134"/>
      <c r="P599" s="134" t="s">
        <v>673</v>
      </c>
      <c r="Q599" s="134"/>
      <c r="R599" s="134"/>
      <c r="S599" s="134"/>
      <c r="T599" s="135">
        <v>1318553360</v>
      </c>
      <c r="U599" s="135"/>
      <c r="V599" s="136" t="s">
        <v>618</v>
      </c>
      <c r="W599" s="136"/>
      <c r="X599" s="129">
        <v>18040</v>
      </c>
      <c r="Y599" s="129"/>
      <c r="Z599" s="129">
        <v>18040</v>
      </c>
      <c r="AA599" s="129"/>
      <c r="AB599" s="129"/>
      <c r="AC599" s="129"/>
      <c r="AD599" s="129">
        <v>0</v>
      </c>
      <c r="AE599" s="129"/>
      <c r="AF599" s="129"/>
      <c r="AG599" s="129"/>
      <c r="AH599" s="129"/>
      <c r="AI599" s="129">
        <v>0</v>
      </c>
      <c r="AJ599" s="129"/>
      <c r="AK599" s="129"/>
    </row>
    <row r="600" spans="3:37" ht="14.85" customHeight="1" x14ac:dyDescent="0.15">
      <c r="C600" s="132">
        <v>44619</v>
      </c>
      <c r="D600" s="132"/>
      <c r="E600" s="132">
        <v>44621</v>
      </c>
      <c r="F600" s="132"/>
      <c r="G600" s="132"/>
      <c r="H600" s="132"/>
      <c r="I600" s="133" t="s">
        <v>665</v>
      </c>
      <c r="J600" s="133"/>
      <c r="K600" s="133"/>
      <c r="L600" s="133"/>
      <c r="M600" s="133"/>
      <c r="N600" s="134" t="s">
        <v>664</v>
      </c>
      <c r="O600" s="134"/>
      <c r="P600" s="134" t="s">
        <v>672</v>
      </c>
      <c r="Q600" s="134"/>
      <c r="R600" s="134"/>
      <c r="S600" s="134"/>
      <c r="T600" s="135">
        <v>1058177410</v>
      </c>
      <c r="U600" s="135"/>
      <c r="V600" s="136" t="s">
        <v>622</v>
      </c>
      <c r="W600" s="136"/>
      <c r="X600" s="129">
        <v>800</v>
      </c>
      <c r="Y600" s="129"/>
      <c r="Z600" s="129">
        <v>800</v>
      </c>
      <c r="AA600" s="129"/>
      <c r="AB600" s="129"/>
      <c r="AC600" s="129"/>
      <c r="AD600" s="129">
        <v>0</v>
      </c>
      <c r="AE600" s="129"/>
      <c r="AF600" s="129"/>
      <c r="AG600" s="129"/>
      <c r="AH600" s="129"/>
      <c r="AI600" s="129">
        <v>0</v>
      </c>
      <c r="AJ600" s="129"/>
      <c r="AK600" s="129"/>
    </row>
    <row r="601" spans="3:37" ht="14.85" customHeight="1" x14ac:dyDescent="0.15">
      <c r="C601" s="132">
        <v>44619</v>
      </c>
      <c r="D601" s="132"/>
      <c r="E601" s="132">
        <v>44621</v>
      </c>
      <c r="F601" s="132"/>
      <c r="G601" s="132"/>
      <c r="H601" s="132"/>
      <c r="I601" s="133" t="s">
        <v>665</v>
      </c>
      <c r="J601" s="133"/>
      <c r="K601" s="133"/>
      <c r="L601" s="133"/>
      <c r="M601" s="133"/>
      <c r="N601" s="134" t="s">
        <v>664</v>
      </c>
      <c r="O601" s="134"/>
      <c r="P601" s="134" t="s">
        <v>672</v>
      </c>
      <c r="Q601" s="134"/>
      <c r="R601" s="134"/>
      <c r="S601" s="134"/>
      <c r="T601" s="135">
        <v>1058177410</v>
      </c>
      <c r="U601" s="135"/>
      <c r="V601" s="136" t="s">
        <v>622</v>
      </c>
      <c r="W601" s="136"/>
      <c r="X601" s="129">
        <v>800</v>
      </c>
      <c r="Y601" s="129"/>
      <c r="Z601" s="129">
        <v>800</v>
      </c>
      <c r="AA601" s="129"/>
      <c r="AB601" s="129"/>
      <c r="AC601" s="129"/>
      <c r="AD601" s="129">
        <v>0</v>
      </c>
      <c r="AE601" s="129"/>
      <c r="AF601" s="129"/>
      <c r="AG601" s="129"/>
      <c r="AH601" s="129"/>
      <c r="AI601" s="129">
        <v>0</v>
      </c>
      <c r="AJ601" s="129"/>
      <c r="AK601" s="129"/>
    </row>
    <row r="602" spans="3:37" ht="14.85" customHeight="1" x14ac:dyDescent="0.15">
      <c r="C602" s="132">
        <v>44619</v>
      </c>
      <c r="D602" s="132"/>
      <c r="E602" s="132">
        <v>44620</v>
      </c>
      <c r="F602" s="132"/>
      <c r="G602" s="132"/>
      <c r="H602" s="132"/>
      <c r="I602" s="133" t="s">
        <v>665</v>
      </c>
      <c r="J602" s="133"/>
      <c r="K602" s="133"/>
      <c r="L602" s="133"/>
      <c r="M602" s="133"/>
      <c r="N602" s="134" t="s">
        <v>664</v>
      </c>
      <c r="O602" s="134"/>
      <c r="P602" s="134" t="s">
        <v>671</v>
      </c>
      <c r="Q602" s="134"/>
      <c r="R602" s="134"/>
      <c r="S602" s="134"/>
      <c r="T602" s="135">
        <v>1058765162</v>
      </c>
      <c r="U602" s="135"/>
      <c r="V602" s="136" t="s">
        <v>618</v>
      </c>
      <c r="W602" s="136"/>
      <c r="X602" s="129">
        <v>48870</v>
      </c>
      <c r="Y602" s="129"/>
      <c r="Z602" s="129">
        <v>48870</v>
      </c>
      <c r="AA602" s="129"/>
      <c r="AB602" s="129"/>
      <c r="AC602" s="129"/>
      <c r="AD602" s="129">
        <v>0</v>
      </c>
      <c r="AE602" s="129"/>
      <c r="AF602" s="129"/>
      <c r="AG602" s="129"/>
      <c r="AH602" s="129"/>
      <c r="AI602" s="129">
        <v>0</v>
      </c>
      <c r="AJ602" s="129"/>
      <c r="AK602" s="129"/>
    </row>
    <row r="603" spans="3:37" ht="14.85" customHeight="1" x14ac:dyDescent="0.15">
      <c r="C603" s="132">
        <v>44620</v>
      </c>
      <c r="D603" s="132"/>
      <c r="E603" s="132">
        <v>44622</v>
      </c>
      <c r="F603" s="132"/>
      <c r="G603" s="132"/>
      <c r="H603" s="132"/>
      <c r="I603" s="133" t="s">
        <v>621</v>
      </c>
      <c r="J603" s="133"/>
      <c r="K603" s="133"/>
      <c r="L603" s="133"/>
      <c r="M603" s="133"/>
      <c r="N603" s="134" t="s">
        <v>620</v>
      </c>
      <c r="O603" s="134"/>
      <c r="P603" s="134" t="s">
        <v>670</v>
      </c>
      <c r="Q603" s="134"/>
      <c r="R603" s="134"/>
      <c r="S603" s="134"/>
      <c r="T603" s="135">
        <v>1058177410</v>
      </c>
      <c r="U603" s="135"/>
      <c r="V603" s="136" t="s">
        <v>622</v>
      </c>
      <c r="W603" s="136"/>
      <c r="X603" s="129">
        <v>800</v>
      </c>
      <c r="Y603" s="129"/>
      <c r="Z603" s="129">
        <v>800</v>
      </c>
      <c r="AA603" s="129"/>
      <c r="AB603" s="129"/>
      <c r="AC603" s="129"/>
      <c r="AD603" s="129">
        <v>0</v>
      </c>
      <c r="AE603" s="129"/>
      <c r="AF603" s="129"/>
      <c r="AG603" s="129"/>
      <c r="AH603" s="129"/>
      <c r="AI603" s="129">
        <v>0</v>
      </c>
      <c r="AJ603" s="129"/>
      <c r="AK603" s="129"/>
    </row>
    <row r="604" spans="3:37" ht="14.85" customHeight="1" x14ac:dyDescent="0.15">
      <c r="C604" s="132">
        <v>44620</v>
      </c>
      <c r="D604" s="132"/>
      <c r="E604" s="132">
        <v>44623</v>
      </c>
      <c r="F604" s="132"/>
      <c r="G604" s="132"/>
      <c r="H604" s="132"/>
      <c r="I604" s="133" t="s">
        <v>621</v>
      </c>
      <c r="J604" s="133"/>
      <c r="K604" s="133"/>
      <c r="L604" s="133"/>
      <c r="M604" s="133"/>
      <c r="N604" s="134" t="s">
        <v>620</v>
      </c>
      <c r="O604" s="134"/>
      <c r="P604" s="134" t="s">
        <v>669</v>
      </c>
      <c r="Q604" s="134"/>
      <c r="R604" s="134"/>
      <c r="S604" s="134"/>
      <c r="T604" s="135">
        <v>1048183559</v>
      </c>
      <c r="U604" s="135"/>
      <c r="V604" s="136" t="s">
        <v>618</v>
      </c>
      <c r="W604" s="136"/>
      <c r="X604" s="129">
        <v>800</v>
      </c>
      <c r="Y604" s="129"/>
      <c r="Z604" s="129">
        <v>800</v>
      </c>
      <c r="AA604" s="129"/>
      <c r="AB604" s="129"/>
      <c r="AC604" s="129"/>
      <c r="AD604" s="129">
        <v>0</v>
      </c>
      <c r="AE604" s="129"/>
      <c r="AF604" s="129"/>
      <c r="AG604" s="129"/>
      <c r="AH604" s="129"/>
      <c r="AI604" s="129">
        <v>0</v>
      </c>
      <c r="AJ604" s="129"/>
      <c r="AK604" s="129"/>
    </row>
    <row r="605" spans="3:37" ht="14.85" customHeight="1" x14ac:dyDescent="0.15">
      <c r="C605" s="132">
        <v>44592</v>
      </c>
      <c r="D605" s="132"/>
      <c r="E605" s="132">
        <v>44623</v>
      </c>
      <c r="F605" s="132"/>
      <c r="G605" s="132"/>
      <c r="H605" s="132"/>
      <c r="I605" s="133" t="s">
        <v>621</v>
      </c>
      <c r="J605" s="133"/>
      <c r="K605" s="133"/>
      <c r="L605" s="133"/>
      <c r="M605" s="133"/>
      <c r="N605" s="134" t="s">
        <v>620</v>
      </c>
      <c r="O605" s="134"/>
      <c r="P605" s="134" t="s">
        <v>668</v>
      </c>
      <c r="Q605" s="134"/>
      <c r="R605" s="134"/>
      <c r="S605" s="134"/>
      <c r="T605" s="135">
        <v>1318215327</v>
      </c>
      <c r="U605" s="135"/>
      <c r="V605" s="136" t="s">
        <v>618</v>
      </c>
      <c r="W605" s="136"/>
      <c r="X605" s="129">
        <v>6700</v>
      </c>
      <c r="Y605" s="129"/>
      <c r="Z605" s="129">
        <v>6700</v>
      </c>
      <c r="AA605" s="129"/>
      <c r="AB605" s="129"/>
      <c r="AC605" s="129"/>
      <c r="AD605" s="129">
        <v>0</v>
      </c>
      <c r="AE605" s="129"/>
      <c r="AF605" s="129"/>
      <c r="AG605" s="129"/>
      <c r="AH605" s="129"/>
      <c r="AI605" s="129">
        <v>0</v>
      </c>
      <c r="AJ605" s="129"/>
      <c r="AK605" s="129"/>
    </row>
    <row r="606" spans="3:37" ht="14.85" customHeight="1" x14ac:dyDescent="0.15">
      <c r="C606" s="132">
        <v>44592</v>
      </c>
      <c r="D606" s="132"/>
      <c r="E606" s="132">
        <v>44623</v>
      </c>
      <c r="F606" s="132"/>
      <c r="G606" s="132"/>
      <c r="H606" s="132"/>
      <c r="I606" s="133" t="s">
        <v>621</v>
      </c>
      <c r="J606" s="133"/>
      <c r="K606" s="133"/>
      <c r="L606" s="133"/>
      <c r="M606" s="133"/>
      <c r="N606" s="134" t="s">
        <v>620</v>
      </c>
      <c r="O606" s="134"/>
      <c r="P606" s="134" t="s">
        <v>667</v>
      </c>
      <c r="Q606" s="134"/>
      <c r="R606" s="134"/>
      <c r="S606" s="134"/>
      <c r="T606" s="135">
        <v>1048183559</v>
      </c>
      <c r="U606" s="135"/>
      <c r="V606" s="136" t="s">
        <v>618</v>
      </c>
      <c r="W606" s="136"/>
      <c r="X606" s="129">
        <v>4000</v>
      </c>
      <c r="Y606" s="129"/>
      <c r="Z606" s="129">
        <v>4000</v>
      </c>
      <c r="AA606" s="129"/>
      <c r="AB606" s="129"/>
      <c r="AC606" s="129"/>
      <c r="AD606" s="129">
        <v>0</v>
      </c>
      <c r="AE606" s="129"/>
      <c r="AF606" s="129"/>
      <c r="AG606" s="129"/>
      <c r="AH606" s="129"/>
      <c r="AI606" s="129">
        <v>0</v>
      </c>
      <c r="AJ606" s="129"/>
      <c r="AK606" s="129"/>
    </row>
    <row r="607" spans="3:37" ht="14.85" customHeight="1" x14ac:dyDescent="0.15">
      <c r="C607" s="132">
        <v>44592</v>
      </c>
      <c r="D607" s="132"/>
      <c r="E607" s="132">
        <v>44623</v>
      </c>
      <c r="F607" s="132"/>
      <c r="G607" s="132"/>
      <c r="H607" s="132"/>
      <c r="I607" s="133" t="s">
        <v>621</v>
      </c>
      <c r="J607" s="133"/>
      <c r="K607" s="133"/>
      <c r="L607" s="133"/>
      <c r="M607" s="133"/>
      <c r="N607" s="134" t="s">
        <v>620</v>
      </c>
      <c r="O607" s="134"/>
      <c r="P607" s="134" t="s">
        <v>640</v>
      </c>
      <c r="Q607" s="134"/>
      <c r="R607" s="134"/>
      <c r="S607" s="134"/>
      <c r="T607" s="135">
        <v>2028148079</v>
      </c>
      <c r="U607" s="135"/>
      <c r="V607" s="136" t="s">
        <v>618</v>
      </c>
      <c r="W607" s="136"/>
      <c r="X607" s="129">
        <v>200</v>
      </c>
      <c r="Y607" s="129"/>
      <c r="Z607" s="129">
        <v>200</v>
      </c>
      <c r="AA607" s="129"/>
      <c r="AB607" s="129"/>
      <c r="AC607" s="129"/>
      <c r="AD607" s="129">
        <v>0</v>
      </c>
      <c r="AE607" s="129"/>
      <c r="AF607" s="129"/>
      <c r="AG607" s="129"/>
      <c r="AH607" s="129"/>
      <c r="AI607" s="129">
        <v>0</v>
      </c>
      <c r="AJ607" s="129"/>
      <c r="AK607" s="129"/>
    </row>
    <row r="608" spans="3:37" ht="14.85" customHeight="1" x14ac:dyDescent="0.15">
      <c r="C608" s="132">
        <v>44628</v>
      </c>
      <c r="D608" s="132"/>
      <c r="E608" s="132">
        <v>44629</v>
      </c>
      <c r="F608" s="132"/>
      <c r="G608" s="132"/>
      <c r="H608" s="132"/>
      <c r="I608" s="133" t="s">
        <v>621</v>
      </c>
      <c r="J608" s="133"/>
      <c r="K608" s="133"/>
      <c r="L608" s="133"/>
      <c r="M608" s="133"/>
      <c r="N608" s="134" t="s">
        <v>630</v>
      </c>
      <c r="O608" s="134"/>
      <c r="P608" s="134" t="s">
        <v>631</v>
      </c>
      <c r="Q608" s="134"/>
      <c r="R608" s="134"/>
      <c r="S608" s="134"/>
      <c r="T608" s="135">
        <v>1168119948</v>
      </c>
      <c r="U608" s="135"/>
      <c r="V608" s="136" t="s">
        <v>618</v>
      </c>
      <c r="W608" s="136"/>
      <c r="X608" s="129">
        <v>320310</v>
      </c>
      <c r="Y608" s="129"/>
      <c r="Z608" s="129">
        <v>291191</v>
      </c>
      <c r="AA608" s="129"/>
      <c r="AB608" s="129"/>
      <c r="AC608" s="129"/>
      <c r="AD608" s="129">
        <v>29119</v>
      </c>
      <c r="AE608" s="129"/>
      <c r="AF608" s="129"/>
      <c r="AG608" s="129"/>
      <c r="AH608" s="129"/>
      <c r="AI608" s="129">
        <v>0</v>
      </c>
      <c r="AJ608" s="129"/>
      <c r="AK608" s="129"/>
    </row>
    <row r="609" spans="3:37" ht="14.85" customHeight="1" x14ac:dyDescent="0.15">
      <c r="C609" s="132">
        <v>44633</v>
      </c>
      <c r="D609" s="132"/>
      <c r="E609" s="132">
        <v>44631</v>
      </c>
      <c r="F609" s="132"/>
      <c r="G609" s="132"/>
      <c r="H609" s="132"/>
      <c r="I609" s="133" t="s">
        <v>621</v>
      </c>
      <c r="J609" s="133"/>
      <c r="K609" s="133"/>
      <c r="L609" s="133"/>
      <c r="M609" s="133"/>
      <c r="N609" s="134" t="s">
        <v>620</v>
      </c>
      <c r="O609" s="134"/>
      <c r="P609" s="134" t="s">
        <v>666</v>
      </c>
      <c r="Q609" s="134"/>
      <c r="R609" s="134"/>
      <c r="S609" s="134"/>
      <c r="T609" s="135">
        <v>2208139938</v>
      </c>
      <c r="U609" s="135"/>
      <c r="V609" s="136" t="s">
        <v>618</v>
      </c>
      <c r="W609" s="136"/>
      <c r="X609" s="129">
        <v>82450</v>
      </c>
      <c r="Y609" s="129"/>
      <c r="Z609" s="129">
        <v>82450</v>
      </c>
      <c r="AA609" s="129"/>
      <c r="AB609" s="129"/>
      <c r="AC609" s="129"/>
      <c r="AD609" s="129">
        <v>0</v>
      </c>
      <c r="AE609" s="129"/>
      <c r="AF609" s="129"/>
      <c r="AG609" s="129"/>
      <c r="AH609" s="129"/>
      <c r="AI609" s="129">
        <v>0</v>
      </c>
      <c r="AJ609" s="129"/>
      <c r="AK609" s="129"/>
    </row>
    <row r="610" spans="3:37" ht="14.85" customHeight="1" x14ac:dyDescent="0.15">
      <c r="C610" s="132">
        <v>44633</v>
      </c>
      <c r="D610" s="132"/>
      <c r="E610" s="132">
        <v>44631</v>
      </c>
      <c r="F610" s="132"/>
      <c r="G610" s="132"/>
      <c r="H610" s="132"/>
      <c r="I610" s="133" t="s">
        <v>621</v>
      </c>
      <c r="J610" s="133"/>
      <c r="K610" s="133"/>
      <c r="L610" s="133"/>
      <c r="M610" s="133"/>
      <c r="N610" s="134" t="s">
        <v>620</v>
      </c>
      <c r="O610" s="134"/>
      <c r="P610" s="134" t="s">
        <v>636</v>
      </c>
      <c r="Q610" s="134"/>
      <c r="R610" s="134"/>
      <c r="S610" s="134"/>
      <c r="T610" s="135">
        <v>2208139938</v>
      </c>
      <c r="U610" s="135"/>
      <c r="V610" s="136" t="s">
        <v>618</v>
      </c>
      <c r="W610" s="136"/>
      <c r="X610" s="129">
        <v>8760</v>
      </c>
      <c r="Y610" s="129"/>
      <c r="Z610" s="129">
        <v>8760</v>
      </c>
      <c r="AA610" s="129"/>
      <c r="AB610" s="129"/>
      <c r="AC610" s="129"/>
      <c r="AD610" s="129">
        <v>0</v>
      </c>
      <c r="AE610" s="129"/>
      <c r="AF610" s="129"/>
      <c r="AG610" s="129"/>
      <c r="AH610" s="129"/>
      <c r="AI610" s="129">
        <v>0</v>
      </c>
      <c r="AJ610" s="129"/>
      <c r="AK610" s="129"/>
    </row>
    <row r="611" spans="3:37" ht="14.85" customHeight="1" x14ac:dyDescent="0.15">
      <c r="C611" s="132">
        <v>44637</v>
      </c>
      <c r="D611" s="132"/>
      <c r="E611" s="132">
        <v>44638</v>
      </c>
      <c r="F611" s="132"/>
      <c r="G611" s="132"/>
      <c r="H611" s="132"/>
      <c r="I611" s="133" t="s">
        <v>665</v>
      </c>
      <c r="J611" s="133"/>
      <c r="K611" s="133"/>
      <c r="L611" s="133"/>
      <c r="M611" s="133"/>
      <c r="N611" s="134" t="s">
        <v>664</v>
      </c>
      <c r="O611" s="134"/>
      <c r="P611" s="134" t="s">
        <v>663</v>
      </c>
      <c r="Q611" s="134"/>
      <c r="R611" s="134"/>
      <c r="S611" s="134"/>
      <c r="T611" s="135">
        <v>5950700415</v>
      </c>
      <c r="U611" s="135"/>
      <c r="V611" s="136" t="s">
        <v>622</v>
      </c>
      <c r="W611" s="136"/>
      <c r="X611" s="129">
        <v>4500</v>
      </c>
      <c r="Y611" s="129"/>
      <c r="Z611" s="129">
        <v>4091</v>
      </c>
      <c r="AA611" s="129"/>
      <c r="AB611" s="129"/>
      <c r="AC611" s="129"/>
      <c r="AD611" s="129">
        <v>409</v>
      </c>
      <c r="AE611" s="129"/>
      <c r="AF611" s="129"/>
      <c r="AG611" s="129"/>
      <c r="AH611" s="129"/>
      <c r="AI611" s="129">
        <v>0</v>
      </c>
      <c r="AJ611" s="129"/>
      <c r="AK611" s="129"/>
    </row>
    <row r="612" spans="3:37" ht="14.85" customHeight="1" x14ac:dyDescent="0.15">
      <c r="C612" s="132">
        <v>44639</v>
      </c>
      <c r="D612" s="132"/>
      <c r="E612" s="132">
        <v>44640</v>
      </c>
      <c r="F612" s="132"/>
      <c r="G612" s="132"/>
      <c r="H612" s="132"/>
      <c r="I612" s="133" t="s">
        <v>621</v>
      </c>
      <c r="J612" s="133"/>
      <c r="K612" s="133"/>
      <c r="L612" s="133"/>
      <c r="M612" s="133"/>
      <c r="N612" s="134" t="s">
        <v>620</v>
      </c>
      <c r="O612" s="134"/>
      <c r="P612" s="134" t="s">
        <v>638</v>
      </c>
      <c r="Q612" s="134"/>
      <c r="R612" s="134"/>
      <c r="S612" s="134"/>
      <c r="T612" s="135">
        <v>8138501886</v>
      </c>
      <c r="U612" s="135"/>
      <c r="V612" s="136" t="s">
        <v>618</v>
      </c>
      <c r="W612" s="136"/>
      <c r="X612" s="129">
        <v>5000</v>
      </c>
      <c r="Y612" s="129"/>
      <c r="Z612" s="129">
        <v>4546</v>
      </c>
      <c r="AA612" s="129"/>
      <c r="AB612" s="129"/>
      <c r="AC612" s="129"/>
      <c r="AD612" s="129">
        <v>454</v>
      </c>
      <c r="AE612" s="129"/>
      <c r="AF612" s="129"/>
      <c r="AG612" s="129"/>
      <c r="AH612" s="129"/>
      <c r="AI612" s="129">
        <v>0</v>
      </c>
      <c r="AJ612" s="129"/>
      <c r="AK612" s="129"/>
    </row>
    <row r="613" spans="3:37" ht="14.85" customHeight="1" x14ac:dyDescent="0.15">
      <c r="C613" s="132">
        <v>44641</v>
      </c>
      <c r="D613" s="132"/>
      <c r="E613" s="132">
        <v>44642</v>
      </c>
      <c r="F613" s="132"/>
      <c r="G613" s="132"/>
      <c r="H613" s="132"/>
      <c r="I613" s="133" t="s">
        <v>621</v>
      </c>
      <c r="J613" s="133"/>
      <c r="K613" s="133"/>
      <c r="L613" s="133"/>
      <c r="M613" s="133"/>
      <c r="N613" s="134" t="s">
        <v>630</v>
      </c>
      <c r="O613" s="134"/>
      <c r="P613" s="134" t="s">
        <v>662</v>
      </c>
      <c r="Q613" s="134"/>
      <c r="R613" s="134"/>
      <c r="S613" s="134"/>
      <c r="T613" s="135">
        <v>4970701269</v>
      </c>
      <c r="U613" s="135"/>
      <c r="V613" s="136" t="s">
        <v>618</v>
      </c>
      <c r="W613" s="136"/>
      <c r="X613" s="129">
        <v>310000</v>
      </c>
      <c r="Y613" s="129"/>
      <c r="Z613" s="129">
        <v>281819</v>
      </c>
      <c r="AA613" s="129"/>
      <c r="AB613" s="129"/>
      <c r="AC613" s="129"/>
      <c r="AD613" s="129">
        <v>28181</v>
      </c>
      <c r="AE613" s="129"/>
      <c r="AF613" s="129"/>
      <c r="AG613" s="129"/>
      <c r="AH613" s="129"/>
      <c r="AI613" s="129">
        <v>0</v>
      </c>
      <c r="AJ613" s="129"/>
      <c r="AK613" s="129"/>
    </row>
    <row r="614" spans="3:37" ht="14.85" customHeight="1" x14ac:dyDescent="0.15">
      <c r="C614" s="132">
        <v>44643</v>
      </c>
      <c r="D614" s="132"/>
      <c r="E614" s="132">
        <v>44644</v>
      </c>
      <c r="F614" s="132"/>
      <c r="G614" s="132"/>
      <c r="H614" s="132"/>
      <c r="I614" s="133" t="s">
        <v>621</v>
      </c>
      <c r="J614" s="133"/>
      <c r="K614" s="133"/>
      <c r="L614" s="133"/>
      <c r="M614" s="133"/>
      <c r="N614" s="134" t="s">
        <v>620</v>
      </c>
      <c r="O614" s="134"/>
      <c r="P614" s="134" t="s">
        <v>627</v>
      </c>
      <c r="Q614" s="134"/>
      <c r="R614" s="134"/>
      <c r="S614" s="134"/>
      <c r="T614" s="135">
        <v>2329300384</v>
      </c>
      <c r="U614" s="135"/>
      <c r="V614" s="136" t="s">
        <v>626</v>
      </c>
      <c r="W614" s="136"/>
      <c r="X614" s="129">
        <v>4600</v>
      </c>
      <c r="Y614" s="129"/>
      <c r="Z614" s="129">
        <v>4600</v>
      </c>
      <c r="AA614" s="129"/>
      <c r="AB614" s="129"/>
      <c r="AC614" s="129"/>
      <c r="AD614" s="129">
        <v>0</v>
      </c>
      <c r="AE614" s="129"/>
      <c r="AF614" s="129"/>
      <c r="AG614" s="129"/>
      <c r="AH614" s="129"/>
      <c r="AI614" s="129">
        <v>0</v>
      </c>
      <c r="AJ614" s="129"/>
      <c r="AK614" s="129"/>
    </row>
    <row r="615" spans="3:37" ht="14.85" customHeight="1" x14ac:dyDescent="0.15">
      <c r="C615" s="132">
        <v>44643</v>
      </c>
      <c r="D615" s="132"/>
      <c r="E615" s="132">
        <v>44644</v>
      </c>
      <c r="F615" s="132"/>
      <c r="G615" s="132"/>
      <c r="H615" s="132"/>
      <c r="I615" s="133" t="s">
        <v>621</v>
      </c>
      <c r="J615" s="133"/>
      <c r="K615" s="133"/>
      <c r="L615" s="133"/>
      <c r="M615" s="133"/>
      <c r="N615" s="134" t="s">
        <v>620</v>
      </c>
      <c r="O615" s="134"/>
      <c r="P615" s="134" t="s">
        <v>625</v>
      </c>
      <c r="Q615" s="134"/>
      <c r="R615" s="134"/>
      <c r="S615" s="134"/>
      <c r="T615" s="135">
        <v>6073354644</v>
      </c>
      <c r="U615" s="135"/>
      <c r="V615" s="136" t="s">
        <v>618</v>
      </c>
      <c r="W615" s="136"/>
      <c r="X615" s="129">
        <v>32400</v>
      </c>
      <c r="Y615" s="129"/>
      <c r="Z615" s="129">
        <v>32400</v>
      </c>
      <c r="AA615" s="129"/>
      <c r="AB615" s="129"/>
      <c r="AC615" s="129"/>
      <c r="AD615" s="129">
        <v>0</v>
      </c>
      <c r="AE615" s="129"/>
      <c r="AF615" s="129"/>
      <c r="AG615" s="129"/>
      <c r="AH615" s="129"/>
      <c r="AI615" s="129">
        <v>0</v>
      </c>
      <c r="AJ615" s="129"/>
      <c r="AK615" s="129"/>
    </row>
    <row r="616" spans="3:37" ht="14.85" customHeight="1" x14ac:dyDescent="0.15">
      <c r="C616" s="132">
        <v>44650</v>
      </c>
      <c r="D616" s="132"/>
      <c r="E616" s="132">
        <v>44651</v>
      </c>
      <c r="F616" s="132"/>
      <c r="G616" s="132"/>
      <c r="H616" s="132"/>
      <c r="I616" s="133" t="s">
        <v>621</v>
      </c>
      <c r="J616" s="133"/>
      <c r="K616" s="133"/>
      <c r="L616" s="133"/>
      <c r="M616" s="133"/>
      <c r="N616" s="134" t="s">
        <v>620</v>
      </c>
      <c r="O616" s="134"/>
      <c r="P616" s="134" t="s">
        <v>645</v>
      </c>
      <c r="Q616" s="134"/>
      <c r="R616" s="134"/>
      <c r="S616" s="134"/>
      <c r="T616" s="135">
        <v>1310578433</v>
      </c>
      <c r="U616" s="135"/>
      <c r="V616" s="136" t="s">
        <v>644</v>
      </c>
      <c r="W616" s="136"/>
      <c r="X616" s="129">
        <v>16000</v>
      </c>
      <c r="Y616" s="129"/>
      <c r="Z616" s="129">
        <v>14546</v>
      </c>
      <c r="AA616" s="129"/>
      <c r="AB616" s="129"/>
      <c r="AC616" s="129"/>
      <c r="AD616" s="129">
        <v>1454</v>
      </c>
      <c r="AE616" s="129"/>
      <c r="AF616" s="129"/>
      <c r="AG616" s="129"/>
      <c r="AH616" s="129"/>
      <c r="AI616" s="129">
        <v>0</v>
      </c>
      <c r="AJ616" s="129"/>
      <c r="AK616" s="129"/>
    </row>
    <row r="617" spans="3:37" ht="14.85" customHeight="1" x14ac:dyDescent="0.15">
      <c r="C617" s="132">
        <v>44620</v>
      </c>
      <c r="D617" s="132"/>
      <c r="E617" s="132">
        <v>44655</v>
      </c>
      <c r="F617" s="132"/>
      <c r="G617" s="132"/>
      <c r="H617" s="132"/>
      <c r="I617" s="133" t="s">
        <v>621</v>
      </c>
      <c r="J617" s="133"/>
      <c r="K617" s="133"/>
      <c r="L617" s="133"/>
      <c r="M617" s="133"/>
      <c r="N617" s="134" t="s">
        <v>620</v>
      </c>
      <c r="O617" s="134"/>
      <c r="P617" s="134" t="s">
        <v>640</v>
      </c>
      <c r="Q617" s="134"/>
      <c r="R617" s="134"/>
      <c r="S617" s="134"/>
      <c r="T617" s="135">
        <v>2028148079</v>
      </c>
      <c r="U617" s="135"/>
      <c r="V617" s="136" t="s">
        <v>618</v>
      </c>
      <c r="W617" s="136"/>
      <c r="X617" s="129">
        <v>200</v>
      </c>
      <c r="Y617" s="129"/>
      <c r="Z617" s="129">
        <v>200</v>
      </c>
      <c r="AA617" s="129"/>
      <c r="AB617" s="129"/>
      <c r="AC617" s="129"/>
      <c r="AD617" s="129">
        <v>0</v>
      </c>
      <c r="AE617" s="129"/>
      <c r="AF617" s="129"/>
      <c r="AG617" s="129"/>
      <c r="AH617" s="129"/>
      <c r="AI617" s="129">
        <v>0</v>
      </c>
      <c r="AJ617" s="129"/>
      <c r="AK617" s="129"/>
    </row>
    <row r="618" spans="3:37" ht="14.85" customHeight="1" x14ac:dyDescent="0.15">
      <c r="C618" s="132">
        <v>44661</v>
      </c>
      <c r="D618" s="132"/>
      <c r="E618" s="132">
        <v>44662</v>
      </c>
      <c r="F618" s="132"/>
      <c r="G618" s="132"/>
      <c r="H618" s="132"/>
      <c r="I618" s="133" t="s">
        <v>621</v>
      </c>
      <c r="J618" s="133"/>
      <c r="K618" s="133"/>
      <c r="L618" s="133"/>
      <c r="M618" s="133"/>
      <c r="N618" s="134" t="s">
        <v>620</v>
      </c>
      <c r="O618" s="134"/>
      <c r="P618" s="134" t="s">
        <v>638</v>
      </c>
      <c r="Q618" s="134"/>
      <c r="R618" s="134"/>
      <c r="S618" s="134"/>
      <c r="T618" s="135">
        <v>8138501886</v>
      </c>
      <c r="U618" s="135"/>
      <c r="V618" s="136" t="s">
        <v>618</v>
      </c>
      <c r="W618" s="136"/>
      <c r="X618" s="129">
        <v>5000</v>
      </c>
      <c r="Y618" s="129"/>
      <c r="Z618" s="129">
        <v>4546</v>
      </c>
      <c r="AA618" s="129"/>
      <c r="AB618" s="129"/>
      <c r="AC618" s="129"/>
      <c r="AD618" s="129">
        <v>454</v>
      </c>
      <c r="AE618" s="129"/>
      <c r="AF618" s="129"/>
      <c r="AG618" s="129"/>
      <c r="AH618" s="129"/>
      <c r="AI618" s="129">
        <v>0</v>
      </c>
      <c r="AJ618" s="129"/>
      <c r="AK618" s="129"/>
    </row>
    <row r="619" spans="3:37" ht="14.85" customHeight="1" x14ac:dyDescent="0.15">
      <c r="C619" s="132">
        <v>44664</v>
      </c>
      <c r="D619" s="132"/>
      <c r="E619" s="132">
        <v>44663</v>
      </c>
      <c r="F619" s="132"/>
      <c r="G619" s="132"/>
      <c r="H619" s="132"/>
      <c r="I619" s="133" t="s">
        <v>621</v>
      </c>
      <c r="J619" s="133"/>
      <c r="K619" s="133"/>
      <c r="L619" s="133"/>
      <c r="M619" s="133"/>
      <c r="N619" s="134" t="s">
        <v>620</v>
      </c>
      <c r="O619" s="134"/>
      <c r="P619" s="134" t="s">
        <v>636</v>
      </c>
      <c r="Q619" s="134"/>
      <c r="R619" s="134"/>
      <c r="S619" s="134"/>
      <c r="T619" s="135">
        <v>2208139938</v>
      </c>
      <c r="U619" s="135"/>
      <c r="V619" s="136" t="s">
        <v>618</v>
      </c>
      <c r="W619" s="136"/>
      <c r="X619" s="129">
        <v>8760</v>
      </c>
      <c r="Y619" s="129"/>
      <c r="Z619" s="129">
        <v>8760</v>
      </c>
      <c r="AA619" s="129"/>
      <c r="AB619" s="129"/>
      <c r="AC619" s="129"/>
      <c r="AD619" s="129">
        <v>0</v>
      </c>
      <c r="AE619" s="129"/>
      <c r="AF619" s="129"/>
      <c r="AG619" s="129"/>
      <c r="AH619" s="129"/>
      <c r="AI619" s="129">
        <v>0</v>
      </c>
      <c r="AJ619" s="129"/>
      <c r="AK619" s="129"/>
    </row>
    <row r="620" spans="3:37" ht="14.85" customHeight="1" x14ac:dyDescent="0.15">
      <c r="C620" s="132">
        <v>44663</v>
      </c>
      <c r="D620" s="132"/>
      <c r="E620" s="132">
        <v>44664</v>
      </c>
      <c r="F620" s="132"/>
      <c r="G620" s="132"/>
      <c r="H620" s="132"/>
      <c r="I620" s="133" t="s">
        <v>621</v>
      </c>
      <c r="J620" s="133"/>
      <c r="K620" s="133"/>
      <c r="L620" s="133"/>
      <c r="M620" s="133"/>
      <c r="N620" s="134" t="s">
        <v>620</v>
      </c>
      <c r="O620" s="134"/>
      <c r="P620" s="134" t="s">
        <v>661</v>
      </c>
      <c r="Q620" s="134"/>
      <c r="R620" s="134"/>
      <c r="S620" s="134"/>
      <c r="T620" s="135">
        <v>4118601799</v>
      </c>
      <c r="U620" s="135"/>
      <c r="V620" s="136" t="s">
        <v>618</v>
      </c>
      <c r="W620" s="136"/>
      <c r="X620" s="129">
        <v>34720</v>
      </c>
      <c r="Y620" s="129"/>
      <c r="Z620" s="129">
        <v>34720</v>
      </c>
      <c r="AA620" s="129"/>
      <c r="AB620" s="129"/>
      <c r="AC620" s="129"/>
      <c r="AD620" s="129">
        <v>0</v>
      </c>
      <c r="AE620" s="129"/>
      <c r="AF620" s="129"/>
      <c r="AG620" s="129"/>
      <c r="AH620" s="129"/>
      <c r="AI620" s="129">
        <v>0</v>
      </c>
      <c r="AJ620" s="129"/>
      <c r="AK620" s="129"/>
    </row>
    <row r="621" spans="3:37" ht="14.85" customHeight="1" x14ac:dyDescent="0.15">
      <c r="C621" s="132">
        <v>44666</v>
      </c>
      <c r="D621" s="132"/>
      <c r="E621" s="132">
        <v>44667</v>
      </c>
      <c r="F621" s="132"/>
      <c r="G621" s="132"/>
      <c r="H621" s="132"/>
      <c r="I621" s="133" t="s">
        <v>621</v>
      </c>
      <c r="J621" s="133"/>
      <c r="K621" s="133"/>
      <c r="L621" s="133"/>
      <c r="M621" s="133"/>
      <c r="N621" s="134" t="s">
        <v>620</v>
      </c>
      <c r="O621" s="134"/>
      <c r="P621" s="134" t="s">
        <v>660</v>
      </c>
      <c r="Q621" s="134"/>
      <c r="R621" s="134"/>
      <c r="S621" s="134"/>
      <c r="T621" s="135">
        <v>7599501261</v>
      </c>
      <c r="U621" s="135"/>
      <c r="V621" s="136" t="s">
        <v>626</v>
      </c>
      <c r="W621" s="136"/>
      <c r="X621" s="129">
        <v>5000</v>
      </c>
      <c r="Y621" s="129"/>
      <c r="Z621" s="129">
        <v>5000</v>
      </c>
      <c r="AA621" s="129"/>
      <c r="AB621" s="129"/>
      <c r="AC621" s="129"/>
      <c r="AD621" s="129">
        <v>0</v>
      </c>
      <c r="AE621" s="129"/>
      <c r="AF621" s="129"/>
      <c r="AG621" s="129"/>
      <c r="AH621" s="129"/>
      <c r="AI621" s="129">
        <v>0</v>
      </c>
      <c r="AJ621" s="129"/>
      <c r="AK621" s="129"/>
    </row>
    <row r="622" spans="3:37" ht="14.85" customHeight="1" x14ac:dyDescent="0.15">
      <c r="C622" s="132">
        <v>44666</v>
      </c>
      <c r="D622" s="132"/>
      <c r="E622" s="132">
        <v>44667</v>
      </c>
      <c r="F622" s="132"/>
      <c r="G622" s="132"/>
      <c r="H622" s="132"/>
      <c r="I622" s="133" t="s">
        <v>621</v>
      </c>
      <c r="J622" s="133"/>
      <c r="K622" s="133"/>
      <c r="L622" s="133"/>
      <c r="M622" s="133"/>
      <c r="N622" s="134" t="s">
        <v>620</v>
      </c>
      <c r="O622" s="134"/>
      <c r="P622" s="134" t="s">
        <v>659</v>
      </c>
      <c r="Q622" s="134"/>
      <c r="R622" s="134"/>
      <c r="S622" s="134"/>
      <c r="T622" s="135">
        <v>3352401027</v>
      </c>
      <c r="U622" s="135"/>
      <c r="V622" s="136" t="s">
        <v>622</v>
      </c>
      <c r="W622" s="136"/>
      <c r="X622" s="129">
        <v>16900</v>
      </c>
      <c r="Y622" s="129"/>
      <c r="Z622" s="129">
        <v>16900</v>
      </c>
      <c r="AA622" s="129"/>
      <c r="AB622" s="129"/>
      <c r="AC622" s="129"/>
      <c r="AD622" s="129">
        <v>0</v>
      </c>
      <c r="AE622" s="129"/>
      <c r="AF622" s="129"/>
      <c r="AG622" s="129"/>
      <c r="AH622" s="129"/>
      <c r="AI622" s="129">
        <v>0</v>
      </c>
      <c r="AJ622" s="129"/>
      <c r="AK622" s="129"/>
    </row>
    <row r="623" spans="3:37" ht="14.85" customHeight="1" x14ac:dyDescent="0.15">
      <c r="C623" s="132">
        <v>44669</v>
      </c>
      <c r="D623" s="132"/>
      <c r="E623" s="132">
        <v>44670</v>
      </c>
      <c r="F623" s="132"/>
      <c r="G623" s="132"/>
      <c r="H623" s="132"/>
      <c r="I623" s="133" t="s">
        <v>621</v>
      </c>
      <c r="J623" s="133"/>
      <c r="K623" s="133"/>
      <c r="L623" s="133"/>
      <c r="M623" s="133"/>
      <c r="N623" s="134" t="s">
        <v>620</v>
      </c>
      <c r="O623" s="134"/>
      <c r="P623" s="134" t="s">
        <v>632</v>
      </c>
      <c r="Q623" s="134"/>
      <c r="R623" s="134"/>
      <c r="S623" s="134"/>
      <c r="T623" s="135">
        <v>1168119948</v>
      </c>
      <c r="U623" s="135"/>
      <c r="V623" s="136" t="s">
        <v>618</v>
      </c>
      <c r="W623" s="136"/>
      <c r="X623" s="129">
        <v>74290</v>
      </c>
      <c r="Y623" s="129"/>
      <c r="Z623" s="129">
        <v>74290</v>
      </c>
      <c r="AA623" s="129"/>
      <c r="AB623" s="129"/>
      <c r="AC623" s="129"/>
      <c r="AD623" s="129">
        <v>0</v>
      </c>
      <c r="AE623" s="129"/>
      <c r="AF623" s="129"/>
      <c r="AG623" s="129"/>
      <c r="AH623" s="129"/>
      <c r="AI623" s="129">
        <v>0</v>
      </c>
      <c r="AJ623" s="129"/>
      <c r="AK623" s="129"/>
    </row>
    <row r="624" spans="3:37" ht="14.85" customHeight="1" x14ac:dyDescent="0.15">
      <c r="C624" s="132">
        <v>44669</v>
      </c>
      <c r="D624" s="132"/>
      <c r="E624" s="132">
        <v>44670</v>
      </c>
      <c r="F624" s="132"/>
      <c r="G624" s="132"/>
      <c r="H624" s="132"/>
      <c r="I624" s="133" t="s">
        <v>621</v>
      </c>
      <c r="J624" s="133"/>
      <c r="K624" s="133"/>
      <c r="L624" s="133"/>
      <c r="M624" s="133"/>
      <c r="N624" s="134" t="s">
        <v>620</v>
      </c>
      <c r="O624" s="134"/>
      <c r="P624" s="134" t="s">
        <v>658</v>
      </c>
      <c r="Q624" s="134"/>
      <c r="R624" s="134"/>
      <c r="S624" s="134"/>
      <c r="T624" s="135">
        <v>1119100176</v>
      </c>
      <c r="U624" s="135"/>
      <c r="V624" s="136" t="s">
        <v>626</v>
      </c>
      <c r="W624" s="136"/>
      <c r="X624" s="129">
        <v>35200</v>
      </c>
      <c r="Y624" s="129"/>
      <c r="Z624" s="129">
        <v>35200</v>
      </c>
      <c r="AA624" s="129"/>
      <c r="AB624" s="129"/>
      <c r="AC624" s="129"/>
      <c r="AD624" s="129">
        <v>0</v>
      </c>
      <c r="AE624" s="129"/>
      <c r="AF624" s="129"/>
      <c r="AG624" s="129"/>
      <c r="AH624" s="129"/>
      <c r="AI624" s="129">
        <v>0</v>
      </c>
      <c r="AJ624" s="129"/>
      <c r="AK624" s="129"/>
    </row>
    <row r="625" spans="3:37" ht="14.85" customHeight="1" x14ac:dyDescent="0.15">
      <c r="C625" s="132">
        <v>44671</v>
      </c>
      <c r="D625" s="132"/>
      <c r="E625" s="132">
        <v>44672</v>
      </c>
      <c r="F625" s="132"/>
      <c r="G625" s="132"/>
      <c r="H625" s="132"/>
      <c r="I625" s="133" t="s">
        <v>621</v>
      </c>
      <c r="J625" s="133"/>
      <c r="K625" s="133"/>
      <c r="L625" s="133"/>
      <c r="M625" s="133"/>
      <c r="N625" s="134" t="s">
        <v>620</v>
      </c>
      <c r="O625" s="134"/>
      <c r="P625" s="134" t="s">
        <v>657</v>
      </c>
      <c r="Q625" s="134"/>
      <c r="R625" s="134"/>
      <c r="S625" s="134"/>
      <c r="T625" s="135">
        <v>4643300842</v>
      </c>
      <c r="U625" s="135"/>
      <c r="V625" s="136" t="s">
        <v>622</v>
      </c>
      <c r="W625" s="136"/>
      <c r="X625" s="129">
        <v>23000</v>
      </c>
      <c r="Y625" s="129"/>
      <c r="Z625" s="129">
        <v>20910</v>
      </c>
      <c r="AA625" s="129"/>
      <c r="AB625" s="129"/>
      <c r="AC625" s="129"/>
      <c r="AD625" s="129">
        <v>2090</v>
      </c>
      <c r="AE625" s="129"/>
      <c r="AF625" s="129"/>
      <c r="AG625" s="129"/>
      <c r="AH625" s="129"/>
      <c r="AI625" s="129">
        <v>0</v>
      </c>
      <c r="AJ625" s="129"/>
      <c r="AK625" s="129"/>
    </row>
    <row r="626" spans="3:37" ht="29.65" customHeight="1" x14ac:dyDescent="0.15">
      <c r="V626" s="137" t="s">
        <v>617</v>
      </c>
      <c r="W626" s="137"/>
    </row>
    <row r="627" spans="3:37" ht="14.85" customHeight="1" x14ac:dyDescent="0.15">
      <c r="C627" s="132">
        <v>44671</v>
      </c>
      <c r="D627" s="132"/>
      <c r="E627" s="132">
        <v>44672</v>
      </c>
      <c r="F627" s="132"/>
      <c r="G627" s="132"/>
      <c r="H627" s="132"/>
      <c r="I627" s="133" t="s">
        <v>621</v>
      </c>
      <c r="J627" s="133"/>
      <c r="K627" s="133"/>
      <c r="L627" s="133"/>
      <c r="M627" s="133"/>
      <c r="N627" s="134" t="s">
        <v>620</v>
      </c>
      <c r="O627" s="134"/>
      <c r="P627" s="134" t="s">
        <v>627</v>
      </c>
      <c r="Q627" s="134"/>
      <c r="R627" s="134"/>
      <c r="S627" s="134"/>
      <c r="T627" s="135">
        <v>2329300384</v>
      </c>
      <c r="U627" s="135"/>
      <c r="V627" s="136" t="s">
        <v>626</v>
      </c>
      <c r="W627" s="136"/>
      <c r="X627" s="129">
        <v>4600</v>
      </c>
      <c r="Y627" s="129"/>
      <c r="Z627" s="129">
        <v>4600</v>
      </c>
      <c r="AA627" s="129"/>
      <c r="AB627" s="129"/>
      <c r="AC627" s="129"/>
      <c r="AD627" s="129">
        <v>0</v>
      </c>
      <c r="AE627" s="129"/>
      <c r="AF627" s="129"/>
      <c r="AG627" s="129"/>
      <c r="AH627" s="129"/>
      <c r="AI627" s="129">
        <v>0</v>
      </c>
      <c r="AJ627" s="129"/>
      <c r="AK627" s="129"/>
    </row>
    <row r="628" spans="3:37" ht="14.85" customHeight="1" x14ac:dyDescent="0.15">
      <c r="C628" s="132">
        <v>44671</v>
      </c>
      <c r="D628" s="132"/>
      <c r="E628" s="132">
        <v>44672</v>
      </c>
      <c r="F628" s="132"/>
      <c r="G628" s="132"/>
      <c r="H628" s="132"/>
      <c r="I628" s="133" t="s">
        <v>621</v>
      </c>
      <c r="J628" s="133"/>
      <c r="K628" s="133"/>
      <c r="L628" s="133"/>
      <c r="M628" s="133"/>
      <c r="N628" s="134" t="s">
        <v>620</v>
      </c>
      <c r="O628" s="134"/>
      <c r="P628" s="134" t="s">
        <v>625</v>
      </c>
      <c r="Q628" s="134"/>
      <c r="R628" s="134"/>
      <c r="S628" s="134"/>
      <c r="T628" s="135">
        <v>6073354644</v>
      </c>
      <c r="U628" s="135"/>
      <c r="V628" s="136" t="s">
        <v>618</v>
      </c>
      <c r="W628" s="136"/>
      <c r="X628" s="129">
        <v>32400</v>
      </c>
      <c r="Y628" s="129"/>
      <c r="Z628" s="129">
        <v>32400</v>
      </c>
      <c r="AA628" s="129"/>
      <c r="AB628" s="129"/>
      <c r="AC628" s="129"/>
      <c r="AD628" s="129">
        <v>0</v>
      </c>
      <c r="AE628" s="129"/>
      <c r="AF628" s="129"/>
      <c r="AG628" s="129"/>
      <c r="AH628" s="129"/>
      <c r="AI628" s="129">
        <v>0</v>
      </c>
      <c r="AJ628" s="129"/>
      <c r="AK628" s="129"/>
    </row>
    <row r="629" spans="3:37" ht="14.85" customHeight="1" x14ac:dyDescent="0.15">
      <c r="C629" s="132">
        <v>44673</v>
      </c>
      <c r="D629" s="132"/>
      <c r="E629" s="132">
        <v>44673</v>
      </c>
      <c r="F629" s="132"/>
      <c r="G629" s="132"/>
      <c r="H629" s="132"/>
      <c r="I629" s="133" t="s">
        <v>621</v>
      </c>
      <c r="J629" s="133"/>
      <c r="K629" s="133"/>
      <c r="L629" s="133"/>
      <c r="M629" s="133"/>
      <c r="N629" s="134" t="s">
        <v>643</v>
      </c>
      <c r="O629" s="134"/>
      <c r="P629" s="134" t="s">
        <v>656</v>
      </c>
      <c r="Q629" s="134"/>
      <c r="R629" s="134"/>
      <c r="S629" s="134"/>
      <c r="T629" s="136"/>
      <c r="U629" s="136"/>
      <c r="V629" s="136"/>
      <c r="W629" s="136"/>
      <c r="X629" s="129">
        <v>500000</v>
      </c>
      <c r="Y629" s="129"/>
      <c r="Z629" s="129">
        <v>500000</v>
      </c>
      <c r="AA629" s="129"/>
      <c r="AB629" s="129"/>
      <c r="AC629" s="129"/>
      <c r="AD629" s="129">
        <v>0</v>
      </c>
      <c r="AE629" s="129"/>
      <c r="AF629" s="129"/>
      <c r="AG629" s="129"/>
      <c r="AH629" s="129"/>
      <c r="AI629" s="129">
        <v>0</v>
      </c>
      <c r="AJ629" s="129"/>
      <c r="AK629" s="129"/>
    </row>
    <row r="630" spans="3:37" ht="14.85" customHeight="1" x14ac:dyDescent="0.15">
      <c r="C630" s="132">
        <v>44678</v>
      </c>
      <c r="D630" s="132"/>
      <c r="E630" s="132">
        <v>44680</v>
      </c>
      <c r="F630" s="132"/>
      <c r="G630" s="132"/>
      <c r="H630" s="132"/>
      <c r="I630" s="133" t="s">
        <v>621</v>
      </c>
      <c r="J630" s="133"/>
      <c r="K630" s="133"/>
      <c r="L630" s="133"/>
      <c r="M630" s="133"/>
      <c r="N630" s="134" t="s">
        <v>620</v>
      </c>
      <c r="O630" s="134"/>
      <c r="P630" s="134" t="s">
        <v>641</v>
      </c>
      <c r="Q630" s="134"/>
      <c r="R630" s="134"/>
      <c r="S630" s="134"/>
      <c r="T630" s="135">
        <v>1188506525</v>
      </c>
      <c r="U630" s="135"/>
      <c r="V630" s="136" t="s">
        <v>618</v>
      </c>
      <c r="W630" s="136"/>
      <c r="X630" s="129">
        <v>45000</v>
      </c>
      <c r="Y630" s="129"/>
      <c r="Z630" s="129">
        <v>40909</v>
      </c>
      <c r="AA630" s="129"/>
      <c r="AB630" s="129"/>
      <c r="AC630" s="129"/>
      <c r="AD630" s="129">
        <v>4091</v>
      </c>
      <c r="AE630" s="129"/>
      <c r="AF630" s="129"/>
      <c r="AG630" s="129"/>
      <c r="AH630" s="129"/>
      <c r="AI630" s="129">
        <v>0</v>
      </c>
      <c r="AJ630" s="129"/>
      <c r="AK630" s="129"/>
    </row>
    <row r="631" spans="3:37" ht="14.85" customHeight="1" x14ac:dyDescent="0.15">
      <c r="C631" s="132">
        <v>44651</v>
      </c>
      <c r="D631" s="132"/>
      <c r="E631" s="132">
        <v>44684</v>
      </c>
      <c r="F631" s="132"/>
      <c r="G631" s="132"/>
      <c r="H631" s="132"/>
      <c r="I631" s="133" t="s">
        <v>621</v>
      </c>
      <c r="J631" s="133"/>
      <c r="K631" s="133"/>
      <c r="L631" s="133"/>
      <c r="M631" s="133"/>
      <c r="N631" s="134" t="s">
        <v>620</v>
      </c>
      <c r="O631" s="134"/>
      <c r="P631" s="134" t="s">
        <v>640</v>
      </c>
      <c r="Q631" s="134"/>
      <c r="R631" s="134"/>
      <c r="S631" s="134"/>
      <c r="T631" s="135">
        <v>2028148079</v>
      </c>
      <c r="U631" s="135"/>
      <c r="V631" s="136" t="s">
        <v>618</v>
      </c>
      <c r="W631" s="136"/>
      <c r="X631" s="129">
        <v>200</v>
      </c>
      <c r="Y631" s="129"/>
      <c r="Z631" s="129">
        <v>200</v>
      </c>
      <c r="AA631" s="129"/>
      <c r="AB631" s="129"/>
      <c r="AC631" s="129"/>
      <c r="AD631" s="129">
        <v>0</v>
      </c>
      <c r="AE631" s="129"/>
      <c r="AF631" s="129"/>
      <c r="AG631" s="129"/>
      <c r="AH631" s="129"/>
      <c r="AI631" s="129">
        <v>0</v>
      </c>
      <c r="AJ631" s="129"/>
      <c r="AK631" s="129"/>
    </row>
    <row r="632" spans="3:37" ht="14.85" customHeight="1" x14ac:dyDescent="0.15">
      <c r="C632" s="132">
        <v>44694</v>
      </c>
      <c r="D632" s="132"/>
      <c r="E632" s="132">
        <v>44691</v>
      </c>
      <c r="F632" s="132"/>
      <c r="G632" s="132"/>
      <c r="H632" s="132"/>
      <c r="I632" s="133" t="s">
        <v>621</v>
      </c>
      <c r="J632" s="133"/>
      <c r="K632" s="133"/>
      <c r="L632" s="133"/>
      <c r="M632" s="133"/>
      <c r="N632" s="134" t="s">
        <v>620</v>
      </c>
      <c r="O632" s="134"/>
      <c r="P632" s="134" t="s">
        <v>636</v>
      </c>
      <c r="Q632" s="134"/>
      <c r="R632" s="134"/>
      <c r="S632" s="134"/>
      <c r="T632" s="135">
        <v>2208139938</v>
      </c>
      <c r="U632" s="135"/>
      <c r="V632" s="136" t="s">
        <v>618</v>
      </c>
      <c r="W632" s="136"/>
      <c r="X632" s="129">
        <v>8760</v>
      </c>
      <c r="Y632" s="129"/>
      <c r="Z632" s="129">
        <v>8760</v>
      </c>
      <c r="AA632" s="129"/>
      <c r="AB632" s="129"/>
      <c r="AC632" s="129"/>
      <c r="AD632" s="129">
        <v>0</v>
      </c>
      <c r="AE632" s="129"/>
      <c r="AF632" s="129"/>
      <c r="AG632" s="129"/>
      <c r="AH632" s="129"/>
      <c r="AI632" s="129">
        <v>0</v>
      </c>
      <c r="AJ632" s="129"/>
      <c r="AK632" s="129"/>
    </row>
    <row r="633" spans="3:37" ht="14.85" customHeight="1" x14ac:dyDescent="0.15">
      <c r="C633" s="132">
        <v>44697</v>
      </c>
      <c r="D633" s="132"/>
      <c r="E633" s="132">
        <v>44699</v>
      </c>
      <c r="F633" s="132"/>
      <c r="G633" s="132"/>
      <c r="H633" s="132"/>
      <c r="I633" s="133" t="s">
        <v>621</v>
      </c>
      <c r="J633" s="133"/>
      <c r="K633" s="133"/>
      <c r="L633" s="133"/>
      <c r="M633" s="133"/>
      <c r="N633" s="134" t="s">
        <v>620</v>
      </c>
      <c r="O633" s="134"/>
      <c r="P633" s="134" t="s">
        <v>641</v>
      </c>
      <c r="Q633" s="134"/>
      <c r="R633" s="134"/>
      <c r="S633" s="134"/>
      <c r="T633" s="135">
        <v>1188506525</v>
      </c>
      <c r="U633" s="135"/>
      <c r="V633" s="136" t="s">
        <v>618</v>
      </c>
      <c r="W633" s="136"/>
      <c r="X633" s="129">
        <v>45000</v>
      </c>
      <c r="Y633" s="129"/>
      <c r="Z633" s="129">
        <v>40909</v>
      </c>
      <c r="AA633" s="129"/>
      <c r="AB633" s="129"/>
      <c r="AC633" s="129"/>
      <c r="AD633" s="129">
        <v>4091</v>
      </c>
      <c r="AE633" s="129"/>
      <c r="AF633" s="129"/>
      <c r="AG633" s="129"/>
      <c r="AH633" s="129"/>
      <c r="AI633" s="129">
        <v>0</v>
      </c>
      <c r="AJ633" s="129"/>
      <c r="AK633" s="129"/>
    </row>
    <row r="634" spans="3:37" ht="14.85" customHeight="1" x14ac:dyDescent="0.15">
      <c r="C634" s="132">
        <v>44699</v>
      </c>
      <c r="D634" s="132"/>
      <c r="E634" s="132">
        <v>44700</v>
      </c>
      <c r="F634" s="132"/>
      <c r="G634" s="132"/>
      <c r="H634" s="132"/>
      <c r="I634" s="133" t="s">
        <v>621</v>
      </c>
      <c r="J634" s="133"/>
      <c r="K634" s="133"/>
      <c r="L634" s="133"/>
      <c r="M634" s="133"/>
      <c r="N634" s="134" t="s">
        <v>620</v>
      </c>
      <c r="O634" s="134"/>
      <c r="P634" s="134" t="s">
        <v>632</v>
      </c>
      <c r="Q634" s="134"/>
      <c r="R634" s="134"/>
      <c r="S634" s="134"/>
      <c r="T634" s="135">
        <v>1168119948</v>
      </c>
      <c r="U634" s="135"/>
      <c r="V634" s="136" t="s">
        <v>618</v>
      </c>
      <c r="W634" s="136"/>
      <c r="X634" s="129">
        <v>27700</v>
      </c>
      <c r="Y634" s="129"/>
      <c r="Z634" s="129">
        <v>27700</v>
      </c>
      <c r="AA634" s="129"/>
      <c r="AB634" s="129"/>
      <c r="AC634" s="129"/>
      <c r="AD634" s="129">
        <v>0</v>
      </c>
      <c r="AE634" s="129"/>
      <c r="AF634" s="129"/>
      <c r="AG634" s="129"/>
      <c r="AH634" s="129"/>
      <c r="AI634" s="129">
        <v>0</v>
      </c>
      <c r="AJ634" s="129"/>
      <c r="AK634" s="129"/>
    </row>
    <row r="635" spans="3:37" ht="14.85" customHeight="1" x14ac:dyDescent="0.15">
      <c r="C635" s="132">
        <v>44701</v>
      </c>
      <c r="D635" s="132"/>
      <c r="E635" s="132">
        <v>44702</v>
      </c>
      <c r="F635" s="132"/>
      <c r="G635" s="132"/>
      <c r="H635" s="132"/>
      <c r="I635" s="133" t="s">
        <v>621</v>
      </c>
      <c r="J635" s="133"/>
      <c r="K635" s="133"/>
      <c r="L635" s="133"/>
      <c r="M635" s="133"/>
      <c r="N635" s="134" t="s">
        <v>620</v>
      </c>
      <c r="O635" s="134"/>
      <c r="P635" s="134" t="s">
        <v>655</v>
      </c>
      <c r="Q635" s="134"/>
      <c r="R635" s="134"/>
      <c r="S635" s="134"/>
      <c r="T635" s="135">
        <v>7521100257</v>
      </c>
      <c r="U635" s="135"/>
      <c r="V635" s="136" t="s">
        <v>618</v>
      </c>
      <c r="W635" s="136"/>
      <c r="X635" s="129">
        <v>22500</v>
      </c>
      <c r="Y635" s="129"/>
      <c r="Z635" s="129">
        <v>20455</v>
      </c>
      <c r="AA635" s="129"/>
      <c r="AB635" s="129"/>
      <c r="AC635" s="129"/>
      <c r="AD635" s="129">
        <v>2045</v>
      </c>
      <c r="AE635" s="129"/>
      <c r="AF635" s="129"/>
      <c r="AG635" s="129"/>
      <c r="AH635" s="129"/>
      <c r="AI635" s="129">
        <v>0</v>
      </c>
      <c r="AJ635" s="129"/>
      <c r="AK635" s="129"/>
    </row>
    <row r="636" spans="3:37" ht="14.85" customHeight="1" x14ac:dyDescent="0.15">
      <c r="C636" s="132">
        <v>44701</v>
      </c>
      <c r="D636" s="132"/>
      <c r="E636" s="132">
        <v>44703</v>
      </c>
      <c r="F636" s="132"/>
      <c r="G636" s="132"/>
      <c r="H636" s="132"/>
      <c r="I636" s="133" t="s">
        <v>621</v>
      </c>
      <c r="J636" s="133"/>
      <c r="K636" s="133"/>
      <c r="L636" s="133"/>
      <c r="M636" s="133"/>
      <c r="N636" s="134" t="s">
        <v>620</v>
      </c>
      <c r="O636" s="134"/>
      <c r="P636" s="134" t="s">
        <v>654</v>
      </c>
      <c r="Q636" s="134"/>
      <c r="R636" s="134"/>
      <c r="S636" s="134"/>
      <c r="T636" s="135">
        <v>1318517063</v>
      </c>
      <c r="U636" s="135"/>
      <c r="V636" s="136" t="s">
        <v>622</v>
      </c>
      <c r="W636" s="136"/>
      <c r="X636" s="129">
        <v>4500</v>
      </c>
      <c r="Y636" s="129"/>
      <c r="Z636" s="129">
        <v>4091</v>
      </c>
      <c r="AA636" s="129"/>
      <c r="AB636" s="129"/>
      <c r="AC636" s="129"/>
      <c r="AD636" s="129">
        <v>409</v>
      </c>
      <c r="AE636" s="129"/>
      <c r="AF636" s="129"/>
      <c r="AG636" s="129"/>
      <c r="AH636" s="129"/>
      <c r="AI636" s="129">
        <v>0</v>
      </c>
      <c r="AJ636" s="129"/>
      <c r="AK636" s="129"/>
    </row>
    <row r="637" spans="3:37" ht="14.85" customHeight="1" x14ac:dyDescent="0.15">
      <c r="C637" s="132">
        <v>44702</v>
      </c>
      <c r="D637" s="132"/>
      <c r="E637" s="132">
        <v>44704</v>
      </c>
      <c r="F637" s="132"/>
      <c r="G637" s="132"/>
      <c r="H637" s="132"/>
      <c r="I637" s="133" t="s">
        <v>621</v>
      </c>
      <c r="J637" s="133"/>
      <c r="K637" s="133"/>
      <c r="L637" s="133"/>
      <c r="M637" s="133"/>
      <c r="N637" s="134" t="s">
        <v>620</v>
      </c>
      <c r="O637" s="134"/>
      <c r="P637" s="134" t="s">
        <v>641</v>
      </c>
      <c r="Q637" s="134"/>
      <c r="R637" s="134"/>
      <c r="S637" s="134"/>
      <c r="T637" s="135">
        <v>1188506525</v>
      </c>
      <c r="U637" s="135"/>
      <c r="V637" s="136" t="s">
        <v>618</v>
      </c>
      <c r="W637" s="136"/>
      <c r="X637" s="129">
        <v>4500</v>
      </c>
      <c r="Y637" s="129"/>
      <c r="Z637" s="129">
        <v>4091</v>
      </c>
      <c r="AA637" s="129"/>
      <c r="AB637" s="129"/>
      <c r="AC637" s="129"/>
      <c r="AD637" s="129">
        <v>409</v>
      </c>
      <c r="AE637" s="129"/>
      <c r="AF637" s="129"/>
      <c r="AG637" s="129"/>
      <c r="AH637" s="129"/>
      <c r="AI637" s="129">
        <v>0</v>
      </c>
      <c r="AJ637" s="129"/>
      <c r="AK637" s="129"/>
    </row>
    <row r="638" spans="3:37" ht="14.85" customHeight="1" x14ac:dyDescent="0.15">
      <c r="C638" s="132">
        <v>44703</v>
      </c>
      <c r="D638" s="132"/>
      <c r="E638" s="132">
        <v>44704</v>
      </c>
      <c r="F638" s="132"/>
      <c r="G638" s="132"/>
      <c r="H638" s="132"/>
      <c r="I638" s="133" t="s">
        <v>621</v>
      </c>
      <c r="J638" s="133"/>
      <c r="K638" s="133"/>
      <c r="L638" s="133"/>
      <c r="M638" s="133"/>
      <c r="N638" s="134" t="s">
        <v>620</v>
      </c>
      <c r="O638" s="134"/>
      <c r="P638" s="134" t="s">
        <v>645</v>
      </c>
      <c r="Q638" s="134"/>
      <c r="R638" s="134"/>
      <c r="S638" s="134"/>
      <c r="T638" s="135">
        <v>1310578433</v>
      </c>
      <c r="U638" s="135"/>
      <c r="V638" s="136" t="s">
        <v>644</v>
      </c>
      <c r="W638" s="136"/>
      <c r="X638" s="129">
        <v>16000</v>
      </c>
      <c r="Y638" s="129"/>
      <c r="Z638" s="129">
        <v>14546</v>
      </c>
      <c r="AA638" s="129"/>
      <c r="AB638" s="129"/>
      <c r="AC638" s="129"/>
      <c r="AD638" s="129">
        <v>1454</v>
      </c>
      <c r="AE638" s="129"/>
      <c r="AF638" s="129"/>
      <c r="AG638" s="129"/>
      <c r="AH638" s="129"/>
      <c r="AI638" s="129">
        <v>0</v>
      </c>
      <c r="AJ638" s="129"/>
      <c r="AK638" s="129"/>
    </row>
    <row r="639" spans="3:37" ht="14.85" customHeight="1" x14ac:dyDescent="0.15">
      <c r="C639" s="132">
        <v>44704</v>
      </c>
      <c r="D639" s="132"/>
      <c r="E639" s="132">
        <v>44705</v>
      </c>
      <c r="F639" s="132"/>
      <c r="G639" s="132"/>
      <c r="H639" s="132"/>
      <c r="I639" s="133" t="s">
        <v>621</v>
      </c>
      <c r="J639" s="133"/>
      <c r="K639" s="133"/>
      <c r="L639" s="133"/>
      <c r="M639" s="133"/>
      <c r="N639" s="134" t="s">
        <v>620</v>
      </c>
      <c r="O639" s="134"/>
      <c r="P639" s="134" t="s">
        <v>627</v>
      </c>
      <c r="Q639" s="134"/>
      <c r="R639" s="134"/>
      <c r="S639" s="134"/>
      <c r="T639" s="135">
        <v>2329300384</v>
      </c>
      <c r="U639" s="135"/>
      <c r="V639" s="136" t="s">
        <v>626</v>
      </c>
      <c r="W639" s="136"/>
      <c r="X639" s="129">
        <v>4600</v>
      </c>
      <c r="Y639" s="129"/>
      <c r="Z639" s="129">
        <v>4600</v>
      </c>
      <c r="AA639" s="129"/>
      <c r="AB639" s="129"/>
      <c r="AC639" s="129"/>
      <c r="AD639" s="129">
        <v>0</v>
      </c>
      <c r="AE639" s="129"/>
      <c r="AF639" s="129"/>
      <c r="AG639" s="129"/>
      <c r="AH639" s="129"/>
      <c r="AI639" s="129">
        <v>0</v>
      </c>
      <c r="AJ639" s="129"/>
      <c r="AK639" s="129"/>
    </row>
    <row r="640" spans="3:37" ht="14.85" customHeight="1" x14ac:dyDescent="0.15">
      <c r="C640" s="132">
        <v>44704</v>
      </c>
      <c r="D640" s="132"/>
      <c r="E640" s="132">
        <v>44705</v>
      </c>
      <c r="F640" s="132"/>
      <c r="G640" s="132"/>
      <c r="H640" s="132"/>
      <c r="I640" s="133" t="s">
        <v>621</v>
      </c>
      <c r="J640" s="133"/>
      <c r="K640" s="133"/>
      <c r="L640" s="133"/>
      <c r="M640" s="133"/>
      <c r="N640" s="134" t="s">
        <v>620</v>
      </c>
      <c r="O640" s="134"/>
      <c r="P640" s="134" t="s">
        <v>625</v>
      </c>
      <c r="Q640" s="134"/>
      <c r="R640" s="134"/>
      <c r="S640" s="134"/>
      <c r="T640" s="135">
        <v>6073354644</v>
      </c>
      <c r="U640" s="135"/>
      <c r="V640" s="136" t="s">
        <v>618</v>
      </c>
      <c r="W640" s="136"/>
      <c r="X640" s="129">
        <v>32400</v>
      </c>
      <c r="Y640" s="129"/>
      <c r="Z640" s="129">
        <v>32400</v>
      </c>
      <c r="AA640" s="129"/>
      <c r="AB640" s="129"/>
      <c r="AC640" s="129"/>
      <c r="AD640" s="129">
        <v>0</v>
      </c>
      <c r="AE640" s="129"/>
      <c r="AF640" s="129"/>
      <c r="AG640" s="129"/>
      <c r="AH640" s="129"/>
      <c r="AI640" s="129">
        <v>0</v>
      </c>
      <c r="AJ640" s="129"/>
      <c r="AK640" s="129"/>
    </row>
    <row r="641" spans="3:37" ht="14.85" customHeight="1" x14ac:dyDescent="0.15">
      <c r="C641" s="132">
        <v>44704</v>
      </c>
      <c r="D641" s="132"/>
      <c r="E641" s="132">
        <v>44707</v>
      </c>
      <c r="F641" s="132"/>
      <c r="G641" s="132"/>
      <c r="H641" s="132"/>
      <c r="I641" s="133" t="s">
        <v>621</v>
      </c>
      <c r="J641" s="133"/>
      <c r="K641" s="133"/>
      <c r="L641" s="133"/>
      <c r="M641" s="133"/>
      <c r="N641" s="134" t="s">
        <v>620</v>
      </c>
      <c r="O641" s="134"/>
      <c r="P641" s="134" t="s">
        <v>641</v>
      </c>
      <c r="Q641" s="134"/>
      <c r="R641" s="134"/>
      <c r="S641" s="134"/>
      <c r="T641" s="135">
        <v>1188506525</v>
      </c>
      <c r="U641" s="135"/>
      <c r="V641" s="136" t="s">
        <v>618</v>
      </c>
      <c r="W641" s="136"/>
      <c r="X641" s="129">
        <v>4500</v>
      </c>
      <c r="Y641" s="129"/>
      <c r="Z641" s="129">
        <v>4091</v>
      </c>
      <c r="AA641" s="129"/>
      <c r="AB641" s="129"/>
      <c r="AC641" s="129"/>
      <c r="AD641" s="129">
        <v>409</v>
      </c>
      <c r="AE641" s="129"/>
      <c r="AF641" s="129"/>
      <c r="AG641" s="129"/>
      <c r="AH641" s="129"/>
      <c r="AI641" s="129">
        <v>0</v>
      </c>
      <c r="AJ641" s="129"/>
      <c r="AK641" s="129"/>
    </row>
    <row r="642" spans="3:37" ht="14.85" customHeight="1" x14ac:dyDescent="0.15">
      <c r="C642" s="132">
        <v>44711</v>
      </c>
      <c r="D642" s="132"/>
      <c r="E642" s="132">
        <v>44713</v>
      </c>
      <c r="F642" s="132"/>
      <c r="G642" s="132"/>
      <c r="H642" s="132"/>
      <c r="I642" s="133" t="s">
        <v>621</v>
      </c>
      <c r="J642" s="133"/>
      <c r="K642" s="133"/>
      <c r="L642" s="133"/>
      <c r="M642" s="133"/>
      <c r="N642" s="134" t="s">
        <v>620</v>
      </c>
      <c r="O642" s="134"/>
      <c r="P642" s="134" t="s">
        <v>641</v>
      </c>
      <c r="Q642" s="134"/>
      <c r="R642" s="134"/>
      <c r="S642" s="134"/>
      <c r="T642" s="135">
        <v>1188506525</v>
      </c>
      <c r="U642" s="135"/>
      <c r="V642" s="136" t="s">
        <v>618</v>
      </c>
      <c r="W642" s="136"/>
      <c r="X642" s="129">
        <v>4500</v>
      </c>
      <c r="Y642" s="129"/>
      <c r="Z642" s="129">
        <v>4091</v>
      </c>
      <c r="AA642" s="129"/>
      <c r="AB642" s="129"/>
      <c r="AC642" s="129"/>
      <c r="AD642" s="129">
        <v>409</v>
      </c>
      <c r="AE642" s="129"/>
      <c r="AF642" s="129"/>
      <c r="AG642" s="129"/>
      <c r="AH642" s="129"/>
      <c r="AI642" s="129">
        <v>0</v>
      </c>
      <c r="AJ642" s="129"/>
      <c r="AK642" s="129"/>
    </row>
    <row r="643" spans="3:37" ht="14.85" customHeight="1" x14ac:dyDescent="0.15">
      <c r="C643" s="132">
        <v>44713</v>
      </c>
      <c r="D643" s="132"/>
      <c r="E643" s="132">
        <v>44714</v>
      </c>
      <c r="F643" s="132"/>
      <c r="G643" s="132"/>
      <c r="H643" s="132"/>
      <c r="I643" s="133" t="s">
        <v>621</v>
      </c>
      <c r="J643" s="133"/>
      <c r="K643" s="133"/>
      <c r="L643" s="133"/>
      <c r="M643" s="133"/>
      <c r="N643" s="134" t="s">
        <v>620</v>
      </c>
      <c r="O643" s="134"/>
      <c r="P643" s="134" t="s">
        <v>653</v>
      </c>
      <c r="Q643" s="134"/>
      <c r="R643" s="134"/>
      <c r="S643" s="134"/>
      <c r="T643" s="135">
        <v>8418100943</v>
      </c>
      <c r="U643" s="135"/>
      <c r="V643" s="136" t="s">
        <v>618</v>
      </c>
      <c r="W643" s="136"/>
      <c r="X643" s="129">
        <v>37000</v>
      </c>
      <c r="Y643" s="129"/>
      <c r="Z643" s="129">
        <v>33637</v>
      </c>
      <c r="AA643" s="129"/>
      <c r="AB643" s="129"/>
      <c r="AC643" s="129"/>
      <c r="AD643" s="129">
        <v>3363</v>
      </c>
      <c r="AE643" s="129"/>
      <c r="AF643" s="129"/>
      <c r="AG643" s="129"/>
      <c r="AH643" s="129"/>
      <c r="AI643" s="129">
        <v>0</v>
      </c>
      <c r="AJ643" s="129"/>
      <c r="AK643" s="129"/>
    </row>
    <row r="644" spans="3:37" ht="14.85" customHeight="1" x14ac:dyDescent="0.15">
      <c r="C644" s="132">
        <v>44712</v>
      </c>
      <c r="D644" s="132"/>
      <c r="E644" s="132">
        <v>44714</v>
      </c>
      <c r="F644" s="132"/>
      <c r="G644" s="132"/>
      <c r="H644" s="132"/>
      <c r="I644" s="133" t="s">
        <v>621</v>
      </c>
      <c r="J644" s="133"/>
      <c r="K644" s="133"/>
      <c r="L644" s="133"/>
      <c r="M644" s="133"/>
      <c r="N644" s="134" t="s">
        <v>620</v>
      </c>
      <c r="O644" s="134"/>
      <c r="P644" s="134" t="s">
        <v>641</v>
      </c>
      <c r="Q644" s="134"/>
      <c r="R644" s="134"/>
      <c r="S644" s="134"/>
      <c r="T644" s="135">
        <v>1188506525</v>
      </c>
      <c r="U644" s="135"/>
      <c r="V644" s="136" t="s">
        <v>618</v>
      </c>
      <c r="W644" s="136"/>
      <c r="X644" s="129">
        <v>4500</v>
      </c>
      <c r="Y644" s="129"/>
      <c r="Z644" s="129">
        <v>4091</v>
      </c>
      <c r="AA644" s="129"/>
      <c r="AB644" s="129"/>
      <c r="AC644" s="129"/>
      <c r="AD644" s="129">
        <v>409</v>
      </c>
      <c r="AE644" s="129"/>
      <c r="AF644" s="129"/>
      <c r="AG644" s="129"/>
      <c r="AH644" s="129"/>
      <c r="AI644" s="129">
        <v>0</v>
      </c>
      <c r="AJ644" s="129"/>
      <c r="AK644" s="129"/>
    </row>
    <row r="645" spans="3:37" ht="14.85" customHeight="1" x14ac:dyDescent="0.15">
      <c r="C645" s="132">
        <v>44713</v>
      </c>
      <c r="D645" s="132"/>
      <c r="E645" s="132">
        <v>44714</v>
      </c>
      <c r="F645" s="132"/>
      <c r="G645" s="132"/>
      <c r="H645" s="132"/>
      <c r="I645" s="133" t="s">
        <v>621</v>
      </c>
      <c r="J645" s="133"/>
      <c r="K645" s="133"/>
      <c r="L645" s="133"/>
      <c r="M645" s="133"/>
      <c r="N645" s="134" t="s">
        <v>620</v>
      </c>
      <c r="O645" s="134"/>
      <c r="P645" s="134" t="s">
        <v>652</v>
      </c>
      <c r="Q645" s="134"/>
      <c r="R645" s="134"/>
      <c r="S645" s="134"/>
      <c r="T645" s="135">
        <v>1311750632</v>
      </c>
      <c r="U645" s="135"/>
      <c r="V645" s="136" t="s">
        <v>618</v>
      </c>
      <c r="W645" s="136"/>
      <c r="X645" s="129">
        <v>48500</v>
      </c>
      <c r="Y645" s="129"/>
      <c r="Z645" s="129">
        <v>44090</v>
      </c>
      <c r="AA645" s="129"/>
      <c r="AB645" s="129"/>
      <c r="AC645" s="129"/>
      <c r="AD645" s="129">
        <v>4410</v>
      </c>
      <c r="AE645" s="129"/>
      <c r="AF645" s="129"/>
      <c r="AG645" s="129"/>
      <c r="AH645" s="129"/>
      <c r="AI645" s="129">
        <v>0</v>
      </c>
      <c r="AJ645" s="129"/>
      <c r="AK645" s="129"/>
    </row>
    <row r="646" spans="3:37" ht="14.85" customHeight="1" x14ac:dyDescent="0.15">
      <c r="C646" s="132">
        <v>44681</v>
      </c>
      <c r="D646" s="132"/>
      <c r="E646" s="132">
        <v>44715</v>
      </c>
      <c r="F646" s="132"/>
      <c r="G646" s="132"/>
      <c r="H646" s="132"/>
      <c r="I646" s="133" t="s">
        <v>621</v>
      </c>
      <c r="J646" s="133"/>
      <c r="K646" s="133"/>
      <c r="L646" s="133"/>
      <c r="M646" s="133"/>
      <c r="N646" s="134" t="s">
        <v>620</v>
      </c>
      <c r="O646" s="134"/>
      <c r="P646" s="134" t="s">
        <v>640</v>
      </c>
      <c r="Q646" s="134"/>
      <c r="R646" s="134"/>
      <c r="S646" s="134"/>
      <c r="T646" s="135">
        <v>2028148079</v>
      </c>
      <c r="U646" s="135"/>
      <c r="V646" s="136" t="s">
        <v>618</v>
      </c>
      <c r="W646" s="136"/>
      <c r="X646" s="129">
        <v>200</v>
      </c>
      <c r="Y646" s="129"/>
      <c r="Z646" s="129">
        <v>200</v>
      </c>
      <c r="AA646" s="129"/>
      <c r="AB646" s="129"/>
      <c r="AC646" s="129"/>
      <c r="AD646" s="129">
        <v>0</v>
      </c>
      <c r="AE646" s="129"/>
      <c r="AF646" s="129"/>
      <c r="AG646" s="129"/>
      <c r="AH646" s="129"/>
      <c r="AI646" s="129">
        <v>0</v>
      </c>
      <c r="AJ646" s="129"/>
      <c r="AK646" s="129"/>
    </row>
    <row r="647" spans="3:37" ht="14.85" customHeight="1" x14ac:dyDescent="0.15">
      <c r="C647" s="132">
        <v>44717</v>
      </c>
      <c r="D647" s="132"/>
      <c r="E647" s="132">
        <v>44718</v>
      </c>
      <c r="F647" s="132"/>
      <c r="G647" s="132"/>
      <c r="H647" s="132"/>
      <c r="I647" s="133" t="s">
        <v>621</v>
      </c>
      <c r="J647" s="133"/>
      <c r="K647" s="133"/>
      <c r="L647" s="133"/>
      <c r="M647" s="133"/>
      <c r="N647" s="134" t="s">
        <v>620</v>
      </c>
      <c r="O647" s="134"/>
      <c r="P647" s="134" t="s">
        <v>651</v>
      </c>
      <c r="Q647" s="134"/>
      <c r="R647" s="134"/>
      <c r="S647" s="134"/>
      <c r="T647" s="135">
        <v>1211666348</v>
      </c>
      <c r="U647" s="135"/>
      <c r="V647" s="136" t="s">
        <v>622</v>
      </c>
      <c r="W647" s="136"/>
      <c r="X647" s="129">
        <v>38000</v>
      </c>
      <c r="Y647" s="129"/>
      <c r="Z647" s="129">
        <v>34546</v>
      </c>
      <c r="AA647" s="129"/>
      <c r="AB647" s="129"/>
      <c r="AC647" s="129"/>
      <c r="AD647" s="129">
        <v>3454</v>
      </c>
      <c r="AE647" s="129"/>
      <c r="AF647" s="129"/>
      <c r="AG647" s="129"/>
      <c r="AH647" s="129"/>
      <c r="AI647" s="129">
        <v>0</v>
      </c>
      <c r="AJ647" s="129"/>
      <c r="AK647" s="129"/>
    </row>
    <row r="648" spans="3:37" ht="14.85" customHeight="1" x14ac:dyDescent="0.15">
      <c r="C648" s="132">
        <v>44720</v>
      </c>
      <c r="D648" s="132"/>
      <c r="E648" s="132">
        <v>44721</v>
      </c>
      <c r="F648" s="132"/>
      <c r="G648" s="132"/>
      <c r="H648" s="132"/>
      <c r="I648" s="133" t="s">
        <v>621</v>
      </c>
      <c r="J648" s="133"/>
      <c r="K648" s="133"/>
      <c r="L648" s="133"/>
      <c r="M648" s="133"/>
      <c r="N648" s="134" t="s">
        <v>620</v>
      </c>
      <c r="O648" s="134"/>
      <c r="P648" s="134" t="s">
        <v>650</v>
      </c>
      <c r="Q648" s="134"/>
      <c r="R648" s="134"/>
      <c r="S648" s="134"/>
      <c r="T648" s="135">
        <v>6678501769</v>
      </c>
      <c r="U648" s="135"/>
      <c r="V648" s="136" t="s">
        <v>622</v>
      </c>
      <c r="W648" s="136"/>
      <c r="X648" s="129">
        <v>50000</v>
      </c>
      <c r="Y648" s="129"/>
      <c r="Z648" s="129">
        <v>45455</v>
      </c>
      <c r="AA648" s="129"/>
      <c r="AB648" s="129"/>
      <c r="AC648" s="129"/>
      <c r="AD648" s="129">
        <v>4545</v>
      </c>
      <c r="AE648" s="129"/>
      <c r="AF648" s="129"/>
      <c r="AG648" s="129"/>
      <c r="AH648" s="129"/>
      <c r="AI648" s="129">
        <v>0</v>
      </c>
      <c r="AJ648" s="129"/>
      <c r="AK648" s="129"/>
    </row>
    <row r="649" spans="3:37" ht="14.85" customHeight="1" x14ac:dyDescent="0.15">
      <c r="C649" s="132">
        <v>44725</v>
      </c>
      <c r="D649" s="132"/>
      <c r="E649" s="132">
        <v>44722</v>
      </c>
      <c r="F649" s="132"/>
      <c r="G649" s="132"/>
      <c r="H649" s="132"/>
      <c r="I649" s="133" t="s">
        <v>621</v>
      </c>
      <c r="J649" s="133"/>
      <c r="K649" s="133"/>
      <c r="L649" s="133"/>
      <c r="M649" s="133"/>
      <c r="N649" s="134" t="s">
        <v>620</v>
      </c>
      <c r="O649" s="134"/>
      <c r="P649" s="134" t="s">
        <v>636</v>
      </c>
      <c r="Q649" s="134"/>
      <c r="R649" s="134"/>
      <c r="S649" s="134"/>
      <c r="T649" s="135">
        <v>2208139938</v>
      </c>
      <c r="U649" s="135"/>
      <c r="V649" s="136" t="s">
        <v>618</v>
      </c>
      <c r="W649" s="136"/>
      <c r="X649" s="129">
        <v>8760</v>
      </c>
      <c r="Y649" s="129"/>
      <c r="Z649" s="129">
        <v>8760</v>
      </c>
      <c r="AA649" s="129"/>
      <c r="AB649" s="129"/>
      <c r="AC649" s="129"/>
      <c r="AD649" s="129">
        <v>0</v>
      </c>
      <c r="AE649" s="129"/>
      <c r="AF649" s="129"/>
      <c r="AG649" s="129"/>
      <c r="AH649" s="129"/>
      <c r="AI649" s="129">
        <v>0</v>
      </c>
      <c r="AJ649" s="129"/>
      <c r="AK649" s="129"/>
    </row>
    <row r="650" spans="3:37" ht="14.85" customHeight="1" x14ac:dyDescent="0.15">
      <c r="C650" s="132">
        <v>44723</v>
      </c>
      <c r="D650" s="132"/>
      <c r="E650" s="132">
        <v>44725</v>
      </c>
      <c r="F650" s="132"/>
      <c r="G650" s="132"/>
      <c r="H650" s="132"/>
      <c r="I650" s="133" t="s">
        <v>621</v>
      </c>
      <c r="J650" s="133"/>
      <c r="K650" s="133"/>
      <c r="L650" s="133"/>
      <c r="M650" s="133"/>
      <c r="N650" s="134" t="s">
        <v>620</v>
      </c>
      <c r="O650" s="134"/>
      <c r="P650" s="134" t="s">
        <v>641</v>
      </c>
      <c r="Q650" s="134"/>
      <c r="R650" s="134"/>
      <c r="S650" s="134"/>
      <c r="T650" s="135">
        <v>1188506525</v>
      </c>
      <c r="U650" s="135"/>
      <c r="V650" s="136" t="s">
        <v>618</v>
      </c>
      <c r="W650" s="136"/>
      <c r="X650" s="129">
        <v>45000</v>
      </c>
      <c r="Y650" s="129"/>
      <c r="Z650" s="129">
        <v>40909</v>
      </c>
      <c r="AA650" s="129"/>
      <c r="AB650" s="129"/>
      <c r="AC650" s="129"/>
      <c r="AD650" s="129">
        <v>4091</v>
      </c>
      <c r="AE650" s="129"/>
      <c r="AF650" s="129"/>
      <c r="AG650" s="129"/>
      <c r="AH650" s="129"/>
      <c r="AI650" s="129">
        <v>0</v>
      </c>
      <c r="AJ650" s="129"/>
      <c r="AK650" s="129"/>
    </row>
    <row r="651" spans="3:37" ht="14.85" customHeight="1" x14ac:dyDescent="0.15">
      <c r="C651" s="132">
        <v>44723</v>
      </c>
      <c r="D651" s="132"/>
      <c r="E651" s="132">
        <v>44725</v>
      </c>
      <c r="F651" s="132"/>
      <c r="G651" s="132"/>
      <c r="H651" s="132"/>
      <c r="I651" s="133" t="s">
        <v>621</v>
      </c>
      <c r="J651" s="133"/>
      <c r="K651" s="133"/>
      <c r="L651" s="133"/>
      <c r="M651" s="133"/>
      <c r="N651" s="134" t="s">
        <v>620</v>
      </c>
      <c r="O651" s="134"/>
      <c r="P651" s="134" t="s">
        <v>649</v>
      </c>
      <c r="Q651" s="134"/>
      <c r="R651" s="134"/>
      <c r="S651" s="134"/>
      <c r="T651" s="135">
        <v>1208160844</v>
      </c>
      <c r="U651" s="135"/>
      <c r="V651" s="136" t="s">
        <v>618</v>
      </c>
      <c r="W651" s="136"/>
      <c r="X651" s="129">
        <v>33000</v>
      </c>
      <c r="Y651" s="129"/>
      <c r="Z651" s="129">
        <v>30000</v>
      </c>
      <c r="AA651" s="129"/>
      <c r="AB651" s="129"/>
      <c r="AC651" s="129"/>
      <c r="AD651" s="129">
        <v>3000</v>
      </c>
      <c r="AE651" s="129"/>
      <c r="AF651" s="129"/>
      <c r="AG651" s="129"/>
      <c r="AH651" s="129"/>
      <c r="AI651" s="129">
        <v>0</v>
      </c>
      <c r="AJ651" s="129"/>
      <c r="AK651" s="129"/>
    </row>
    <row r="652" spans="3:37" ht="14.85" customHeight="1" x14ac:dyDescent="0.15">
      <c r="C652" s="132">
        <v>44725</v>
      </c>
      <c r="D652" s="132"/>
      <c r="E652" s="132">
        <v>44726</v>
      </c>
      <c r="F652" s="132"/>
      <c r="G652" s="132"/>
      <c r="H652" s="132"/>
      <c r="I652" s="133" t="s">
        <v>621</v>
      </c>
      <c r="J652" s="133"/>
      <c r="K652" s="133"/>
      <c r="L652" s="133"/>
      <c r="M652" s="133"/>
      <c r="N652" s="134" t="s">
        <v>648</v>
      </c>
      <c r="O652" s="134"/>
      <c r="P652" s="134" t="s">
        <v>647</v>
      </c>
      <c r="Q652" s="134"/>
      <c r="R652" s="134"/>
      <c r="S652" s="134"/>
      <c r="T652" s="135">
        <v>2208201439</v>
      </c>
      <c r="U652" s="135"/>
      <c r="V652" s="136" t="s">
        <v>626</v>
      </c>
      <c r="W652" s="136"/>
      <c r="X652" s="129">
        <v>915140</v>
      </c>
      <c r="Y652" s="129"/>
      <c r="Z652" s="129">
        <v>915140</v>
      </c>
      <c r="AA652" s="129"/>
      <c r="AB652" s="129"/>
      <c r="AC652" s="129"/>
      <c r="AD652" s="129">
        <v>0</v>
      </c>
      <c r="AE652" s="129"/>
      <c r="AF652" s="129"/>
      <c r="AG652" s="129"/>
      <c r="AH652" s="129"/>
      <c r="AI652" s="129">
        <v>0</v>
      </c>
      <c r="AJ652" s="129"/>
      <c r="AK652" s="129"/>
    </row>
    <row r="653" spans="3:37" ht="14.85" customHeight="1" x14ac:dyDescent="0.15">
      <c r="C653" s="132">
        <v>44725</v>
      </c>
      <c r="D653" s="132"/>
      <c r="E653" s="132">
        <v>44726</v>
      </c>
      <c r="F653" s="132"/>
      <c r="G653" s="132"/>
      <c r="H653" s="132"/>
      <c r="I653" s="133" t="s">
        <v>621</v>
      </c>
      <c r="J653" s="133"/>
      <c r="K653" s="133"/>
      <c r="L653" s="133"/>
      <c r="M653" s="133"/>
      <c r="N653" s="134" t="s">
        <v>630</v>
      </c>
      <c r="O653" s="134"/>
      <c r="P653" s="134" t="s">
        <v>646</v>
      </c>
      <c r="Q653" s="134"/>
      <c r="R653" s="134"/>
      <c r="S653" s="134"/>
      <c r="T653" s="135">
        <v>2208201439</v>
      </c>
      <c r="U653" s="135"/>
      <c r="V653" s="136" t="s">
        <v>626</v>
      </c>
      <c r="W653" s="136"/>
      <c r="X653" s="129">
        <v>61800</v>
      </c>
      <c r="Y653" s="129"/>
      <c r="Z653" s="129">
        <v>61800</v>
      </c>
      <c r="AA653" s="129"/>
      <c r="AB653" s="129"/>
      <c r="AC653" s="129"/>
      <c r="AD653" s="129">
        <v>0</v>
      </c>
      <c r="AE653" s="129"/>
      <c r="AF653" s="129"/>
      <c r="AG653" s="129"/>
      <c r="AH653" s="129"/>
      <c r="AI653" s="129">
        <v>0</v>
      </c>
      <c r="AJ653" s="129"/>
      <c r="AK653" s="129"/>
    </row>
    <row r="654" spans="3:37" ht="14.85" customHeight="1" x14ac:dyDescent="0.15">
      <c r="C654" s="132">
        <v>44733</v>
      </c>
      <c r="D654" s="132"/>
      <c r="E654" s="132">
        <v>44734</v>
      </c>
      <c r="F654" s="132"/>
      <c r="G654" s="132"/>
      <c r="H654" s="132"/>
      <c r="I654" s="133" t="s">
        <v>621</v>
      </c>
      <c r="J654" s="133"/>
      <c r="K654" s="133"/>
      <c r="L654" s="133"/>
      <c r="M654" s="133"/>
      <c r="N654" s="134" t="s">
        <v>620</v>
      </c>
      <c r="O654" s="134"/>
      <c r="P654" s="134" t="s">
        <v>627</v>
      </c>
      <c r="Q654" s="134"/>
      <c r="R654" s="134"/>
      <c r="S654" s="134"/>
      <c r="T654" s="135">
        <v>2329300384</v>
      </c>
      <c r="U654" s="135"/>
      <c r="V654" s="136" t="s">
        <v>626</v>
      </c>
      <c r="W654" s="136"/>
      <c r="X654" s="129">
        <v>22400</v>
      </c>
      <c r="Y654" s="129"/>
      <c r="Z654" s="129">
        <v>20363</v>
      </c>
      <c r="AA654" s="129"/>
      <c r="AB654" s="129"/>
      <c r="AC654" s="129"/>
      <c r="AD654" s="129">
        <v>2037</v>
      </c>
      <c r="AE654" s="129"/>
      <c r="AF654" s="129"/>
      <c r="AG654" s="129"/>
      <c r="AH654" s="129"/>
      <c r="AI654" s="129">
        <v>0</v>
      </c>
      <c r="AJ654" s="129"/>
      <c r="AK654" s="129"/>
    </row>
    <row r="655" spans="3:37" ht="14.85" customHeight="1" x14ac:dyDescent="0.15">
      <c r="C655" s="132">
        <v>44739</v>
      </c>
      <c r="D655" s="132"/>
      <c r="E655" s="132">
        <v>44740</v>
      </c>
      <c r="F655" s="132"/>
      <c r="G655" s="132"/>
      <c r="H655" s="132"/>
      <c r="I655" s="133" t="s">
        <v>621</v>
      </c>
      <c r="J655" s="133"/>
      <c r="K655" s="133"/>
      <c r="L655" s="133"/>
      <c r="M655" s="133"/>
      <c r="N655" s="134" t="s">
        <v>620</v>
      </c>
      <c r="O655" s="134"/>
      <c r="P655" s="134" t="s">
        <v>627</v>
      </c>
      <c r="Q655" s="134"/>
      <c r="R655" s="134"/>
      <c r="S655" s="134"/>
      <c r="T655" s="135">
        <v>2329300384</v>
      </c>
      <c r="U655" s="135"/>
      <c r="V655" s="136" t="s">
        <v>626</v>
      </c>
      <c r="W655" s="136"/>
      <c r="X655" s="129">
        <v>4200</v>
      </c>
      <c r="Y655" s="129"/>
      <c r="Z655" s="129">
        <v>4200</v>
      </c>
      <c r="AA655" s="129"/>
      <c r="AB655" s="129"/>
      <c r="AC655" s="129"/>
      <c r="AD655" s="129">
        <v>0</v>
      </c>
      <c r="AE655" s="129"/>
      <c r="AF655" s="129"/>
      <c r="AG655" s="129"/>
      <c r="AH655" s="129"/>
      <c r="AI655" s="129">
        <v>0</v>
      </c>
      <c r="AJ655" s="129"/>
      <c r="AK655" s="129"/>
    </row>
    <row r="656" spans="3:37" ht="14.85" customHeight="1" x14ac:dyDescent="0.15">
      <c r="C656" s="132">
        <v>44739</v>
      </c>
      <c r="D656" s="132"/>
      <c r="E656" s="132">
        <v>44740</v>
      </c>
      <c r="F656" s="132"/>
      <c r="G656" s="132"/>
      <c r="H656" s="132"/>
      <c r="I656" s="133" t="s">
        <v>621</v>
      </c>
      <c r="J656" s="133"/>
      <c r="K656" s="133"/>
      <c r="L656" s="133"/>
      <c r="M656" s="133"/>
      <c r="N656" s="134" t="s">
        <v>620</v>
      </c>
      <c r="O656" s="134"/>
      <c r="P656" s="134" t="s">
        <v>625</v>
      </c>
      <c r="Q656" s="134"/>
      <c r="R656" s="134"/>
      <c r="S656" s="134"/>
      <c r="T656" s="135">
        <v>6073354644</v>
      </c>
      <c r="U656" s="135"/>
      <c r="V656" s="136" t="s">
        <v>618</v>
      </c>
      <c r="W656" s="136"/>
      <c r="X656" s="129">
        <v>36100</v>
      </c>
      <c r="Y656" s="129"/>
      <c r="Z656" s="129">
        <v>36100</v>
      </c>
      <c r="AA656" s="129"/>
      <c r="AB656" s="129"/>
      <c r="AC656" s="129"/>
      <c r="AD656" s="129">
        <v>0</v>
      </c>
      <c r="AE656" s="129"/>
      <c r="AF656" s="129"/>
      <c r="AG656" s="129"/>
      <c r="AH656" s="129"/>
      <c r="AI656" s="129">
        <v>0</v>
      </c>
      <c r="AJ656" s="129"/>
      <c r="AK656" s="129"/>
    </row>
    <row r="657" spans="3:37" ht="14.85" customHeight="1" x14ac:dyDescent="0.15">
      <c r="C657" s="132">
        <v>44712</v>
      </c>
      <c r="D657" s="132"/>
      <c r="E657" s="132">
        <v>44746</v>
      </c>
      <c r="F657" s="132"/>
      <c r="G657" s="132"/>
      <c r="H657" s="132"/>
      <c r="I657" s="133" t="s">
        <v>621</v>
      </c>
      <c r="J657" s="133"/>
      <c r="K657" s="133"/>
      <c r="L657" s="133"/>
      <c r="M657" s="133"/>
      <c r="N657" s="134" t="s">
        <v>620</v>
      </c>
      <c r="O657" s="134"/>
      <c r="P657" s="134" t="s">
        <v>640</v>
      </c>
      <c r="Q657" s="134"/>
      <c r="R657" s="134"/>
      <c r="S657" s="134"/>
      <c r="T657" s="135">
        <v>2028148079</v>
      </c>
      <c r="U657" s="135"/>
      <c r="V657" s="136" t="s">
        <v>618</v>
      </c>
      <c r="W657" s="136"/>
      <c r="X657" s="129">
        <v>200</v>
      </c>
      <c r="Y657" s="129"/>
      <c r="Z657" s="129">
        <v>200</v>
      </c>
      <c r="AA657" s="129"/>
      <c r="AB657" s="129"/>
      <c r="AC657" s="129"/>
      <c r="AD657" s="129">
        <v>0</v>
      </c>
      <c r="AE657" s="129"/>
      <c r="AF657" s="129"/>
      <c r="AG657" s="129"/>
      <c r="AH657" s="129"/>
      <c r="AI657" s="129">
        <v>0</v>
      </c>
      <c r="AJ657" s="129"/>
      <c r="AK657" s="129"/>
    </row>
    <row r="658" spans="3:37" ht="14.85" customHeight="1" x14ac:dyDescent="0.15">
      <c r="C658" s="132">
        <v>44747</v>
      </c>
      <c r="D658" s="132"/>
      <c r="E658" s="132">
        <v>44748</v>
      </c>
      <c r="F658" s="132"/>
      <c r="G658" s="132"/>
      <c r="H658" s="132"/>
      <c r="I658" s="133" t="s">
        <v>621</v>
      </c>
      <c r="J658" s="133"/>
      <c r="K658" s="133"/>
      <c r="L658" s="133"/>
      <c r="M658" s="133"/>
      <c r="N658" s="134" t="s">
        <v>620</v>
      </c>
      <c r="O658" s="134"/>
      <c r="P658" s="134" t="s">
        <v>645</v>
      </c>
      <c r="Q658" s="134"/>
      <c r="R658" s="134"/>
      <c r="S658" s="134"/>
      <c r="T658" s="135">
        <v>1310578433</v>
      </c>
      <c r="U658" s="135"/>
      <c r="V658" s="136" t="s">
        <v>644</v>
      </c>
      <c r="W658" s="136"/>
      <c r="X658" s="129">
        <v>16000</v>
      </c>
      <c r="Y658" s="129"/>
      <c r="Z658" s="129">
        <v>14546</v>
      </c>
      <c r="AA658" s="129"/>
      <c r="AB658" s="129"/>
      <c r="AC658" s="129"/>
      <c r="AD658" s="129">
        <v>1454</v>
      </c>
      <c r="AE658" s="129"/>
      <c r="AF658" s="129"/>
      <c r="AG658" s="129"/>
      <c r="AH658" s="129"/>
      <c r="AI658" s="129">
        <v>0</v>
      </c>
      <c r="AJ658" s="129"/>
      <c r="AK658" s="129"/>
    </row>
    <row r="659" spans="3:37" ht="14.85" customHeight="1" x14ac:dyDescent="0.15">
      <c r="C659" s="132">
        <v>44755</v>
      </c>
      <c r="D659" s="132"/>
      <c r="E659" s="132">
        <v>44754</v>
      </c>
      <c r="F659" s="132"/>
      <c r="G659" s="132"/>
      <c r="H659" s="132"/>
      <c r="I659" s="133" t="s">
        <v>621</v>
      </c>
      <c r="J659" s="133"/>
      <c r="K659" s="133"/>
      <c r="L659" s="133"/>
      <c r="M659" s="133"/>
      <c r="N659" s="134" t="s">
        <v>620</v>
      </c>
      <c r="O659" s="134"/>
      <c r="P659" s="134" t="s">
        <v>636</v>
      </c>
      <c r="Q659" s="134"/>
      <c r="R659" s="134"/>
      <c r="S659" s="134"/>
      <c r="T659" s="135">
        <v>2208139938</v>
      </c>
      <c r="U659" s="135"/>
      <c r="V659" s="136" t="s">
        <v>618</v>
      </c>
      <c r="W659" s="136"/>
      <c r="X659" s="129">
        <v>8760</v>
      </c>
      <c r="Y659" s="129"/>
      <c r="Z659" s="129">
        <v>8760</v>
      </c>
      <c r="AA659" s="129"/>
      <c r="AB659" s="129"/>
      <c r="AC659" s="129"/>
      <c r="AD659" s="129">
        <v>0</v>
      </c>
      <c r="AE659" s="129"/>
      <c r="AF659" s="129"/>
      <c r="AG659" s="129"/>
      <c r="AH659" s="129"/>
      <c r="AI659" s="129">
        <v>0</v>
      </c>
      <c r="AJ659" s="129"/>
      <c r="AK659" s="129"/>
    </row>
    <row r="660" spans="3:37" ht="14.85" customHeight="1" x14ac:dyDescent="0.15">
      <c r="C660" s="132">
        <v>44760</v>
      </c>
      <c r="D660" s="132"/>
      <c r="E660" s="132">
        <v>44761</v>
      </c>
      <c r="F660" s="132"/>
      <c r="G660" s="132"/>
      <c r="H660" s="132"/>
      <c r="I660" s="133" t="s">
        <v>621</v>
      </c>
      <c r="J660" s="133"/>
      <c r="K660" s="133"/>
      <c r="L660" s="133"/>
      <c r="M660" s="133"/>
      <c r="N660" s="134" t="s">
        <v>620</v>
      </c>
      <c r="O660" s="134"/>
      <c r="P660" s="134" t="s">
        <v>632</v>
      </c>
      <c r="Q660" s="134"/>
      <c r="R660" s="134"/>
      <c r="S660" s="134"/>
      <c r="T660" s="135">
        <v>1168119948</v>
      </c>
      <c r="U660" s="135"/>
      <c r="V660" s="136" t="s">
        <v>618</v>
      </c>
      <c r="W660" s="136"/>
      <c r="X660" s="129">
        <v>41420</v>
      </c>
      <c r="Y660" s="129"/>
      <c r="Z660" s="129">
        <v>41420</v>
      </c>
      <c r="AA660" s="129"/>
      <c r="AB660" s="129"/>
      <c r="AC660" s="129"/>
      <c r="AD660" s="129">
        <v>0</v>
      </c>
      <c r="AE660" s="129"/>
      <c r="AF660" s="129"/>
      <c r="AG660" s="129"/>
      <c r="AH660" s="129"/>
      <c r="AI660" s="129">
        <v>0</v>
      </c>
      <c r="AJ660" s="129"/>
      <c r="AK660" s="129"/>
    </row>
    <row r="661" spans="3:37" ht="14.85" customHeight="1" x14ac:dyDescent="0.15">
      <c r="C661" s="132">
        <v>44769</v>
      </c>
      <c r="D661" s="132"/>
      <c r="E661" s="132">
        <v>44770</v>
      </c>
      <c r="F661" s="132"/>
      <c r="G661" s="132"/>
      <c r="H661" s="132"/>
      <c r="I661" s="133" t="s">
        <v>621</v>
      </c>
      <c r="J661" s="133"/>
      <c r="K661" s="133"/>
      <c r="L661" s="133"/>
      <c r="M661" s="133"/>
      <c r="N661" s="134" t="s">
        <v>620</v>
      </c>
      <c r="O661" s="134"/>
      <c r="P661" s="134" t="s">
        <v>627</v>
      </c>
      <c r="Q661" s="134"/>
      <c r="R661" s="134"/>
      <c r="S661" s="134"/>
      <c r="T661" s="135">
        <v>2329300384</v>
      </c>
      <c r="U661" s="135"/>
      <c r="V661" s="136" t="s">
        <v>626</v>
      </c>
      <c r="W661" s="136"/>
      <c r="X661" s="129">
        <v>4600</v>
      </c>
      <c r="Y661" s="129"/>
      <c r="Z661" s="129">
        <v>4600</v>
      </c>
      <c r="AA661" s="129"/>
      <c r="AB661" s="129"/>
      <c r="AC661" s="129"/>
      <c r="AD661" s="129">
        <v>0</v>
      </c>
      <c r="AE661" s="129"/>
      <c r="AF661" s="129"/>
      <c r="AG661" s="129"/>
      <c r="AH661" s="129"/>
      <c r="AI661" s="129">
        <v>0</v>
      </c>
      <c r="AJ661" s="129"/>
      <c r="AK661" s="129"/>
    </row>
    <row r="662" spans="3:37" ht="14.85" customHeight="1" x14ac:dyDescent="0.15">
      <c r="C662" s="132">
        <v>44769</v>
      </c>
      <c r="D662" s="132"/>
      <c r="E662" s="132">
        <v>44770</v>
      </c>
      <c r="F662" s="132"/>
      <c r="G662" s="132"/>
      <c r="H662" s="132"/>
      <c r="I662" s="133" t="s">
        <v>621</v>
      </c>
      <c r="J662" s="133"/>
      <c r="K662" s="133"/>
      <c r="L662" s="133"/>
      <c r="M662" s="133"/>
      <c r="N662" s="134" t="s">
        <v>620</v>
      </c>
      <c r="O662" s="134"/>
      <c r="P662" s="134" t="s">
        <v>625</v>
      </c>
      <c r="Q662" s="134"/>
      <c r="R662" s="134"/>
      <c r="S662" s="134"/>
      <c r="T662" s="135">
        <v>6073354644</v>
      </c>
      <c r="U662" s="135"/>
      <c r="V662" s="136" t="s">
        <v>618</v>
      </c>
      <c r="W662" s="136"/>
      <c r="X662" s="129">
        <v>35100</v>
      </c>
      <c r="Y662" s="129"/>
      <c r="Z662" s="129">
        <v>35100</v>
      </c>
      <c r="AA662" s="129"/>
      <c r="AB662" s="129"/>
      <c r="AC662" s="129"/>
      <c r="AD662" s="129">
        <v>0</v>
      </c>
      <c r="AE662" s="129"/>
      <c r="AF662" s="129"/>
      <c r="AG662" s="129"/>
      <c r="AH662" s="129"/>
      <c r="AI662" s="129">
        <v>0</v>
      </c>
      <c r="AJ662" s="129"/>
      <c r="AK662" s="129"/>
    </row>
    <row r="663" spans="3:37" ht="14.85" customHeight="1" x14ac:dyDescent="0.15">
      <c r="C663" s="132">
        <v>44742</v>
      </c>
      <c r="D663" s="132"/>
      <c r="E663" s="132">
        <v>44776</v>
      </c>
      <c r="F663" s="132"/>
      <c r="G663" s="132"/>
      <c r="H663" s="132"/>
      <c r="I663" s="133" t="s">
        <v>621</v>
      </c>
      <c r="J663" s="133"/>
      <c r="K663" s="133"/>
      <c r="L663" s="133"/>
      <c r="M663" s="133"/>
      <c r="N663" s="134" t="s">
        <v>620</v>
      </c>
      <c r="O663" s="134"/>
      <c r="P663" s="134" t="s">
        <v>640</v>
      </c>
      <c r="Q663" s="134"/>
      <c r="R663" s="134"/>
      <c r="S663" s="134"/>
      <c r="T663" s="135">
        <v>2028148079</v>
      </c>
      <c r="U663" s="135"/>
      <c r="V663" s="136" t="s">
        <v>618</v>
      </c>
      <c r="W663" s="136"/>
      <c r="X663" s="129">
        <v>200</v>
      </c>
      <c r="Y663" s="129"/>
      <c r="Z663" s="129">
        <v>200</v>
      </c>
      <c r="AA663" s="129"/>
      <c r="AB663" s="129"/>
      <c r="AC663" s="129"/>
      <c r="AD663" s="129">
        <v>0</v>
      </c>
      <c r="AE663" s="129"/>
      <c r="AF663" s="129"/>
      <c r="AG663" s="129"/>
      <c r="AH663" s="129"/>
      <c r="AI663" s="129">
        <v>0</v>
      </c>
      <c r="AJ663" s="129"/>
      <c r="AK663" s="129"/>
    </row>
    <row r="664" spans="3:37" ht="14.85" customHeight="1" x14ac:dyDescent="0.15">
      <c r="C664" s="132">
        <v>44780</v>
      </c>
      <c r="D664" s="132"/>
      <c r="E664" s="132">
        <v>44782</v>
      </c>
      <c r="F664" s="132"/>
      <c r="G664" s="132"/>
      <c r="H664" s="132"/>
      <c r="I664" s="133" t="s">
        <v>621</v>
      </c>
      <c r="J664" s="133"/>
      <c r="K664" s="133"/>
      <c r="L664" s="133"/>
      <c r="M664" s="133"/>
      <c r="N664" s="134" t="s">
        <v>620</v>
      </c>
      <c r="O664" s="134"/>
      <c r="P664" s="134" t="s">
        <v>641</v>
      </c>
      <c r="Q664" s="134"/>
      <c r="R664" s="134"/>
      <c r="S664" s="134"/>
      <c r="T664" s="135">
        <v>1188506525</v>
      </c>
      <c r="U664" s="135"/>
      <c r="V664" s="136" t="s">
        <v>618</v>
      </c>
      <c r="W664" s="136"/>
      <c r="X664" s="129">
        <v>4500</v>
      </c>
      <c r="Y664" s="129"/>
      <c r="Z664" s="129">
        <v>4091</v>
      </c>
      <c r="AA664" s="129"/>
      <c r="AB664" s="129"/>
      <c r="AC664" s="129"/>
      <c r="AD664" s="129">
        <v>409</v>
      </c>
      <c r="AE664" s="129"/>
      <c r="AF664" s="129"/>
      <c r="AG664" s="129"/>
      <c r="AH664" s="129"/>
      <c r="AI664" s="129">
        <v>0</v>
      </c>
      <c r="AJ664" s="129"/>
      <c r="AK664" s="129"/>
    </row>
    <row r="665" spans="3:37" ht="14.85" customHeight="1" x14ac:dyDescent="0.15">
      <c r="C665" s="132">
        <v>44786</v>
      </c>
      <c r="D665" s="132"/>
      <c r="E665" s="132">
        <v>44783</v>
      </c>
      <c r="F665" s="132"/>
      <c r="G665" s="132"/>
      <c r="H665" s="132"/>
      <c r="I665" s="133" t="s">
        <v>621</v>
      </c>
      <c r="J665" s="133"/>
      <c r="K665" s="133"/>
      <c r="L665" s="133"/>
      <c r="M665" s="133"/>
      <c r="N665" s="134" t="s">
        <v>620</v>
      </c>
      <c r="O665" s="134"/>
      <c r="P665" s="134" t="s">
        <v>636</v>
      </c>
      <c r="Q665" s="134"/>
      <c r="R665" s="134"/>
      <c r="S665" s="134"/>
      <c r="T665" s="135">
        <v>2208139938</v>
      </c>
      <c r="U665" s="135"/>
      <c r="V665" s="136" t="s">
        <v>618</v>
      </c>
      <c r="W665" s="136"/>
      <c r="X665" s="129">
        <v>8760</v>
      </c>
      <c r="Y665" s="129"/>
      <c r="Z665" s="129">
        <v>8760</v>
      </c>
      <c r="AA665" s="129"/>
      <c r="AB665" s="129"/>
      <c r="AC665" s="129"/>
      <c r="AD665" s="129">
        <v>0</v>
      </c>
      <c r="AE665" s="129"/>
      <c r="AF665" s="129"/>
      <c r="AG665" s="129"/>
      <c r="AH665" s="129"/>
      <c r="AI665" s="129">
        <v>0</v>
      </c>
      <c r="AJ665" s="129"/>
      <c r="AK665" s="129"/>
    </row>
    <row r="666" spans="3:37" ht="14.85" customHeight="1" x14ac:dyDescent="0.15">
      <c r="C666" s="132">
        <v>44793</v>
      </c>
      <c r="D666" s="132"/>
      <c r="E666" s="132">
        <v>44794</v>
      </c>
      <c r="F666" s="132"/>
      <c r="G666" s="132"/>
      <c r="H666" s="132"/>
      <c r="I666" s="133" t="s">
        <v>621</v>
      </c>
      <c r="J666" s="133"/>
      <c r="K666" s="133"/>
      <c r="L666" s="133"/>
      <c r="M666" s="133"/>
      <c r="N666" s="134" t="s">
        <v>620</v>
      </c>
      <c r="O666" s="134"/>
      <c r="P666" s="134" t="s">
        <v>645</v>
      </c>
      <c r="Q666" s="134"/>
      <c r="R666" s="134"/>
      <c r="S666" s="134"/>
      <c r="T666" s="135">
        <v>1310578433</v>
      </c>
      <c r="U666" s="135"/>
      <c r="V666" s="136" t="s">
        <v>644</v>
      </c>
      <c r="W666" s="136"/>
      <c r="X666" s="129">
        <v>16000</v>
      </c>
      <c r="Y666" s="129"/>
      <c r="Z666" s="129">
        <v>14546</v>
      </c>
      <c r="AA666" s="129"/>
      <c r="AB666" s="129"/>
      <c r="AC666" s="129"/>
      <c r="AD666" s="129">
        <v>1454</v>
      </c>
      <c r="AE666" s="129"/>
      <c r="AF666" s="129"/>
      <c r="AG666" s="129"/>
      <c r="AH666" s="129"/>
      <c r="AI666" s="129">
        <v>0</v>
      </c>
      <c r="AJ666" s="129"/>
      <c r="AK666" s="129"/>
    </row>
    <row r="667" spans="3:37" ht="29.65" customHeight="1" x14ac:dyDescent="0.15">
      <c r="V667" s="137" t="s">
        <v>617</v>
      </c>
      <c r="W667" s="137"/>
    </row>
    <row r="668" spans="3:37" ht="14.85" customHeight="1" x14ac:dyDescent="0.15">
      <c r="C668" s="132">
        <v>44798</v>
      </c>
      <c r="D668" s="132"/>
      <c r="E668" s="132">
        <v>44798</v>
      </c>
      <c r="F668" s="132"/>
      <c r="G668" s="132"/>
      <c r="H668" s="132"/>
      <c r="I668" s="133" t="s">
        <v>621</v>
      </c>
      <c r="J668" s="133"/>
      <c r="K668" s="133"/>
      <c r="L668" s="133"/>
      <c r="M668" s="133"/>
      <c r="N668" s="134" t="s">
        <v>643</v>
      </c>
      <c r="O668" s="134"/>
      <c r="P668" s="134" t="s">
        <v>642</v>
      </c>
      <c r="Q668" s="134"/>
      <c r="R668" s="134"/>
      <c r="S668" s="134"/>
      <c r="T668" s="136"/>
      <c r="U668" s="136"/>
      <c r="V668" s="136"/>
      <c r="W668" s="136"/>
      <c r="X668" s="129">
        <v>150000</v>
      </c>
      <c r="Y668" s="129"/>
      <c r="Z668" s="129">
        <v>150000</v>
      </c>
      <c r="AA668" s="129"/>
      <c r="AB668" s="129"/>
      <c r="AC668" s="129"/>
      <c r="AD668" s="129">
        <v>0</v>
      </c>
      <c r="AE668" s="129"/>
      <c r="AF668" s="129"/>
      <c r="AG668" s="129"/>
      <c r="AH668" s="129"/>
      <c r="AI668" s="129">
        <v>0</v>
      </c>
      <c r="AJ668" s="129"/>
      <c r="AK668" s="129"/>
    </row>
    <row r="669" spans="3:37" ht="14.85" customHeight="1" x14ac:dyDescent="0.15">
      <c r="C669" s="132">
        <v>44802</v>
      </c>
      <c r="D669" s="132"/>
      <c r="E669" s="132">
        <v>44803</v>
      </c>
      <c r="F669" s="132"/>
      <c r="G669" s="132"/>
      <c r="H669" s="132"/>
      <c r="I669" s="133" t="s">
        <v>621</v>
      </c>
      <c r="J669" s="133"/>
      <c r="K669" s="133"/>
      <c r="L669" s="133"/>
      <c r="M669" s="133"/>
      <c r="N669" s="134" t="s">
        <v>620</v>
      </c>
      <c r="O669" s="134"/>
      <c r="P669" s="134" t="s">
        <v>625</v>
      </c>
      <c r="Q669" s="134"/>
      <c r="R669" s="134"/>
      <c r="S669" s="134"/>
      <c r="T669" s="135">
        <v>6073354644</v>
      </c>
      <c r="U669" s="135"/>
      <c r="V669" s="136" t="s">
        <v>618</v>
      </c>
      <c r="W669" s="136"/>
      <c r="X669" s="129">
        <v>35100</v>
      </c>
      <c r="Y669" s="129"/>
      <c r="Z669" s="129">
        <v>35100</v>
      </c>
      <c r="AA669" s="129"/>
      <c r="AB669" s="129"/>
      <c r="AC669" s="129"/>
      <c r="AD669" s="129">
        <v>0</v>
      </c>
      <c r="AE669" s="129"/>
      <c r="AF669" s="129"/>
      <c r="AG669" s="129"/>
      <c r="AH669" s="129"/>
      <c r="AI669" s="129">
        <v>0</v>
      </c>
      <c r="AJ669" s="129"/>
      <c r="AK669" s="129"/>
    </row>
    <row r="670" spans="3:37" ht="14.85" customHeight="1" x14ac:dyDescent="0.15">
      <c r="C670" s="132">
        <v>44802</v>
      </c>
      <c r="D670" s="132"/>
      <c r="E670" s="132">
        <v>44803</v>
      </c>
      <c r="F670" s="132"/>
      <c r="G670" s="132"/>
      <c r="H670" s="132"/>
      <c r="I670" s="133" t="s">
        <v>621</v>
      </c>
      <c r="J670" s="133"/>
      <c r="K670" s="133"/>
      <c r="L670" s="133"/>
      <c r="M670" s="133"/>
      <c r="N670" s="134" t="s">
        <v>620</v>
      </c>
      <c r="O670" s="134"/>
      <c r="P670" s="134" t="s">
        <v>627</v>
      </c>
      <c r="Q670" s="134"/>
      <c r="R670" s="134"/>
      <c r="S670" s="134"/>
      <c r="T670" s="135">
        <v>2329300384</v>
      </c>
      <c r="U670" s="135"/>
      <c r="V670" s="136" t="s">
        <v>626</v>
      </c>
      <c r="W670" s="136"/>
      <c r="X670" s="129">
        <v>4600</v>
      </c>
      <c r="Y670" s="129"/>
      <c r="Z670" s="129">
        <v>4600</v>
      </c>
      <c r="AA670" s="129"/>
      <c r="AB670" s="129"/>
      <c r="AC670" s="129"/>
      <c r="AD670" s="129">
        <v>0</v>
      </c>
      <c r="AE670" s="129"/>
      <c r="AF670" s="129"/>
      <c r="AG670" s="129"/>
      <c r="AH670" s="129"/>
      <c r="AI670" s="129">
        <v>0</v>
      </c>
      <c r="AJ670" s="129"/>
      <c r="AK670" s="129"/>
    </row>
    <row r="671" spans="3:37" ht="14.85" customHeight="1" x14ac:dyDescent="0.15">
      <c r="C671" s="132">
        <v>44804</v>
      </c>
      <c r="D671" s="132"/>
      <c r="E671" s="132">
        <v>44806</v>
      </c>
      <c r="F671" s="132"/>
      <c r="G671" s="132"/>
      <c r="H671" s="132"/>
      <c r="I671" s="133" t="s">
        <v>621</v>
      </c>
      <c r="J671" s="133"/>
      <c r="K671" s="133"/>
      <c r="L671" s="133"/>
      <c r="M671" s="133"/>
      <c r="N671" s="134" t="s">
        <v>620</v>
      </c>
      <c r="O671" s="134"/>
      <c r="P671" s="134" t="s">
        <v>641</v>
      </c>
      <c r="Q671" s="134"/>
      <c r="R671" s="134"/>
      <c r="S671" s="134"/>
      <c r="T671" s="135">
        <v>1188506525</v>
      </c>
      <c r="U671" s="135"/>
      <c r="V671" s="136" t="s">
        <v>618</v>
      </c>
      <c r="W671" s="136"/>
      <c r="X671" s="129">
        <v>4500</v>
      </c>
      <c r="Y671" s="129"/>
      <c r="Z671" s="129">
        <v>4091</v>
      </c>
      <c r="AA671" s="129"/>
      <c r="AB671" s="129"/>
      <c r="AC671" s="129"/>
      <c r="AD671" s="129">
        <v>409</v>
      </c>
      <c r="AE671" s="129"/>
      <c r="AF671" s="129"/>
      <c r="AG671" s="129"/>
      <c r="AH671" s="129"/>
      <c r="AI671" s="129">
        <v>0</v>
      </c>
      <c r="AJ671" s="129"/>
      <c r="AK671" s="129"/>
    </row>
    <row r="672" spans="3:37" ht="14.85" customHeight="1" x14ac:dyDescent="0.15">
      <c r="C672" s="132">
        <v>44773</v>
      </c>
      <c r="D672" s="132"/>
      <c r="E672" s="132">
        <v>44806</v>
      </c>
      <c r="F672" s="132"/>
      <c r="G672" s="132"/>
      <c r="H672" s="132"/>
      <c r="I672" s="133" t="s">
        <v>621</v>
      </c>
      <c r="J672" s="133"/>
      <c r="K672" s="133"/>
      <c r="L672" s="133"/>
      <c r="M672" s="133"/>
      <c r="N672" s="134" t="s">
        <v>620</v>
      </c>
      <c r="O672" s="134"/>
      <c r="P672" s="134" t="s">
        <v>640</v>
      </c>
      <c r="Q672" s="134"/>
      <c r="R672" s="134"/>
      <c r="S672" s="134"/>
      <c r="T672" s="135">
        <v>2028148079</v>
      </c>
      <c r="U672" s="135"/>
      <c r="V672" s="136" t="s">
        <v>618</v>
      </c>
      <c r="W672" s="136"/>
      <c r="X672" s="129">
        <v>200</v>
      </c>
      <c r="Y672" s="129"/>
      <c r="Z672" s="129">
        <v>200</v>
      </c>
      <c r="AA672" s="129"/>
      <c r="AB672" s="129"/>
      <c r="AC672" s="129"/>
      <c r="AD672" s="129">
        <v>0</v>
      </c>
      <c r="AE672" s="129"/>
      <c r="AF672" s="129"/>
      <c r="AG672" s="129"/>
      <c r="AH672" s="129"/>
      <c r="AI672" s="129">
        <v>0</v>
      </c>
      <c r="AJ672" s="129"/>
      <c r="AK672" s="129"/>
    </row>
    <row r="673" spans="3:37" ht="14.85" customHeight="1" x14ac:dyDescent="0.15">
      <c r="C673" s="132">
        <v>44805</v>
      </c>
      <c r="D673" s="132"/>
      <c r="E673" s="132">
        <v>44807</v>
      </c>
      <c r="F673" s="132"/>
      <c r="G673" s="132"/>
      <c r="H673" s="132"/>
      <c r="I673" s="133" t="s">
        <v>621</v>
      </c>
      <c r="J673" s="133"/>
      <c r="K673" s="133"/>
      <c r="L673" s="133"/>
      <c r="M673" s="133"/>
      <c r="N673" s="134" t="s">
        <v>620</v>
      </c>
      <c r="O673" s="134"/>
      <c r="P673" s="134" t="s">
        <v>639</v>
      </c>
      <c r="Q673" s="134"/>
      <c r="R673" s="134"/>
      <c r="S673" s="134"/>
      <c r="T673" s="135">
        <v>1298200103</v>
      </c>
      <c r="U673" s="135"/>
      <c r="V673" s="136" t="s">
        <v>618</v>
      </c>
      <c r="W673" s="136"/>
      <c r="X673" s="129">
        <v>2100</v>
      </c>
      <c r="Y673" s="129"/>
      <c r="Z673" s="129">
        <v>2100</v>
      </c>
      <c r="AA673" s="129"/>
      <c r="AB673" s="129"/>
      <c r="AC673" s="129"/>
      <c r="AD673" s="129">
        <v>0</v>
      </c>
      <c r="AE673" s="129"/>
      <c r="AF673" s="129"/>
      <c r="AG673" s="129"/>
      <c r="AH673" s="129"/>
      <c r="AI673" s="129">
        <v>0</v>
      </c>
      <c r="AJ673" s="129"/>
      <c r="AK673" s="129"/>
    </row>
    <row r="674" spans="3:37" ht="14.85" customHeight="1" x14ac:dyDescent="0.15">
      <c r="C674" s="132">
        <v>44805</v>
      </c>
      <c r="D674" s="132"/>
      <c r="E674" s="132">
        <v>44807</v>
      </c>
      <c r="F674" s="132"/>
      <c r="G674" s="132"/>
      <c r="H674" s="132"/>
      <c r="I674" s="133" t="s">
        <v>621</v>
      </c>
      <c r="J674" s="133"/>
      <c r="K674" s="133"/>
      <c r="L674" s="133"/>
      <c r="M674" s="133"/>
      <c r="N674" s="134" t="s">
        <v>620</v>
      </c>
      <c r="O674" s="134"/>
      <c r="P674" s="134" t="s">
        <v>637</v>
      </c>
      <c r="Q674" s="134"/>
      <c r="R674" s="134"/>
      <c r="S674" s="134"/>
      <c r="T674" s="135">
        <v>1298638970</v>
      </c>
      <c r="U674" s="135"/>
      <c r="V674" s="136" t="s">
        <v>618</v>
      </c>
      <c r="W674" s="136"/>
      <c r="X674" s="129">
        <v>1900</v>
      </c>
      <c r="Y674" s="129"/>
      <c r="Z674" s="129">
        <v>1900</v>
      </c>
      <c r="AA674" s="129"/>
      <c r="AB674" s="129"/>
      <c r="AC674" s="129"/>
      <c r="AD674" s="129">
        <v>0</v>
      </c>
      <c r="AE674" s="129"/>
      <c r="AF674" s="129"/>
      <c r="AG674" s="129"/>
      <c r="AH674" s="129"/>
      <c r="AI674" s="129">
        <v>0</v>
      </c>
      <c r="AJ674" s="129"/>
      <c r="AK674" s="129"/>
    </row>
    <row r="675" spans="3:37" ht="14.85" customHeight="1" x14ac:dyDescent="0.15">
      <c r="C675" s="132">
        <v>44807</v>
      </c>
      <c r="D675" s="132"/>
      <c r="E675" s="132">
        <v>44809</v>
      </c>
      <c r="F675" s="132"/>
      <c r="G675" s="132"/>
      <c r="H675" s="132"/>
      <c r="I675" s="133" t="s">
        <v>621</v>
      </c>
      <c r="J675" s="133"/>
      <c r="K675" s="133"/>
      <c r="L675" s="133"/>
      <c r="M675" s="133"/>
      <c r="N675" s="134" t="s">
        <v>620</v>
      </c>
      <c r="O675" s="134"/>
      <c r="P675" s="134" t="s">
        <v>639</v>
      </c>
      <c r="Q675" s="134"/>
      <c r="R675" s="134"/>
      <c r="S675" s="134"/>
      <c r="T675" s="135">
        <v>1298200103</v>
      </c>
      <c r="U675" s="135"/>
      <c r="V675" s="136" t="s">
        <v>618</v>
      </c>
      <c r="W675" s="136"/>
      <c r="X675" s="129">
        <v>8300</v>
      </c>
      <c r="Y675" s="129"/>
      <c r="Z675" s="129">
        <v>8300</v>
      </c>
      <c r="AA675" s="129"/>
      <c r="AB675" s="129"/>
      <c r="AC675" s="129"/>
      <c r="AD675" s="129">
        <v>0</v>
      </c>
      <c r="AE675" s="129"/>
      <c r="AF675" s="129"/>
      <c r="AG675" s="129"/>
      <c r="AH675" s="129"/>
      <c r="AI675" s="129">
        <v>0</v>
      </c>
      <c r="AJ675" s="129"/>
      <c r="AK675" s="129"/>
    </row>
    <row r="676" spans="3:37" ht="14.85" customHeight="1" x14ac:dyDescent="0.15">
      <c r="C676" s="132">
        <v>44808</v>
      </c>
      <c r="D676" s="132"/>
      <c r="E676" s="132">
        <v>44809</v>
      </c>
      <c r="F676" s="132"/>
      <c r="G676" s="132"/>
      <c r="H676" s="132"/>
      <c r="I676" s="133" t="s">
        <v>621</v>
      </c>
      <c r="J676" s="133"/>
      <c r="K676" s="133"/>
      <c r="L676" s="133"/>
      <c r="M676" s="133"/>
      <c r="N676" s="134" t="s">
        <v>620</v>
      </c>
      <c r="O676" s="134"/>
      <c r="P676" s="134" t="s">
        <v>638</v>
      </c>
      <c r="Q676" s="134"/>
      <c r="R676" s="134"/>
      <c r="S676" s="134"/>
      <c r="T676" s="135">
        <v>8138501886</v>
      </c>
      <c r="U676" s="135"/>
      <c r="V676" s="136" t="s">
        <v>618</v>
      </c>
      <c r="W676" s="136"/>
      <c r="X676" s="129">
        <v>6000</v>
      </c>
      <c r="Y676" s="129"/>
      <c r="Z676" s="129">
        <v>5455</v>
      </c>
      <c r="AA676" s="129"/>
      <c r="AB676" s="129"/>
      <c r="AC676" s="129"/>
      <c r="AD676" s="129">
        <v>545</v>
      </c>
      <c r="AE676" s="129"/>
      <c r="AF676" s="129"/>
      <c r="AG676" s="129"/>
      <c r="AH676" s="129"/>
      <c r="AI676" s="129">
        <v>0</v>
      </c>
      <c r="AJ676" s="129"/>
      <c r="AK676" s="129"/>
    </row>
    <row r="677" spans="3:37" ht="14.85" customHeight="1" x14ac:dyDescent="0.15">
      <c r="C677" s="132">
        <v>44805</v>
      </c>
      <c r="D677" s="132"/>
      <c r="E677" s="132">
        <v>44809</v>
      </c>
      <c r="F677" s="132"/>
      <c r="G677" s="132"/>
      <c r="H677" s="132"/>
      <c r="I677" s="133" t="s">
        <v>621</v>
      </c>
      <c r="J677" s="133"/>
      <c r="K677" s="133"/>
      <c r="L677" s="133"/>
      <c r="M677" s="133"/>
      <c r="N677" s="134" t="s">
        <v>620</v>
      </c>
      <c r="O677" s="134"/>
      <c r="P677" s="134" t="s">
        <v>637</v>
      </c>
      <c r="Q677" s="134"/>
      <c r="R677" s="134"/>
      <c r="S677" s="134"/>
      <c r="T677" s="135">
        <v>1298638970</v>
      </c>
      <c r="U677" s="135"/>
      <c r="V677" s="136" t="s">
        <v>618</v>
      </c>
      <c r="W677" s="136"/>
      <c r="X677" s="129">
        <v>3800</v>
      </c>
      <c r="Y677" s="129"/>
      <c r="Z677" s="129">
        <v>3800</v>
      </c>
      <c r="AA677" s="129"/>
      <c r="AB677" s="129"/>
      <c r="AC677" s="129"/>
      <c r="AD677" s="129">
        <v>0</v>
      </c>
      <c r="AE677" s="129"/>
      <c r="AF677" s="129"/>
      <c r="AG677" s="129"/>
      <c r="AH677" s="129"/>
      <c r="AI677" s="129">
        <v>0</v>
      </c>
      <c r="AJ677" s="129"/>
      <c r="AK677" s="129"/>
    </row>
    <row r="678" spans="3:37" ht="14.85" customHeight="1" x14ac:dyDescent="0.15">
      <c r="C678" s="132">
        <v>44808</v>
      </c>
      <c r="D678" s="132"/>
      <c r="E678" s="132">
        <v>44809</v>
      </c>
      <c r="F678" s="132"/>
      <c r="G678" s="132"/>
      <c r="H678" s="132"/>
      <c r="I678" s="133" t="s">
        <v>621</v>
      </c>
      <c r="J678" s="133"/>
      <c r="K678" s="133"/>
      <c r="L678" s="133"/>
      <c r="M678" s="133"/>
      <c r="N678" s="134" t="s">
        <v>620</v>
      </c>
      <c r="O678" s="134"/>
      <c r="P678" s="134" t="s">
        <v>188</v>
      </c>
      <c r="Q678" s="134"/>
      <c r="R678" s="134"/>
      <c r="S678" s="134"/>
      <c r="T678" s="135">
        <v>7260702337</v>
      </c>
      <c r="U678" s="135"/>
      <c r="V678" s="136" t="s">
        <v>618</v>
      </c>
      <c r="W678" s="136"/>
      <c r="X678" s="129">
        <v>2000</v>
      </c>
      <c r="Y678" s="129"/>
      <c r="Z678" s="129">
        <v>1818</v>
      </c>
      <c r="AA678" s="129"/>
      <c r="AB678" s="129"/>
      <c r="AC678" s="129"/>
      <c r="AD678" s="129">
        <v>182</v>
      </c>
      <c r="AE678" s="129"/>
      <c r="AF678" s="129"/>
      <c r="AG678" s="129"/>
      <c r="AH678" s="129"/>
      <c r="AI678" s="129">
        <v>0</v>
      </c>
      <c r="AJ678" s="129"/>
      <c r="AK678" s="129"/>
    </row>
    <row r="679" spans="3:37" ht="14.85" customHeight="1" x14ac:dyDescent="0.15">
      <c r="C679" s="132">
        <v>44807</v>
      </c>
      <c r="D679" s="132"/>
      <c r="E679" s="132">
        <v>44810</v>
      </c>
      <c r="F679" s="132"/>
      <c r="G679" s="132"/>
      <c r="H679" s="132"/>
      <c r="I679" s="133" t="s">
        <v>621</v>
      </c>
      <c r="J679" s="133"/>
      <c r="K679" s="133"/>
      <c r="L679" s="133"/>
      <c r="M679" s="133"/>
      <c r="N679" s="134" t="s">
        <v>620</v>
      </c>
      <c r="O679" s="134"/>
      <c r="P679" s="134" t="s">
        <v>637</v>
      </c>
      <c r="Q679" s="134"/>
      <c r="R679" s="134"/>
      <c r="S679" s="134"/>
      <c r="T679" s="135">
        <v>1298638970</v>
      </c>
      <c r="U679" s="135"/>
      <c r="V679" s="136" t="s">
        <v>618</v>
      </c>
      <c r="W679" s="136"/>
      <c r="X679" s="129">
        <v>1200</v>
      </c>
      <c r="Y679" s="129"/>
      <c r="Z679" s="129">
        <v>1200</v>
      </c>
      <c r="AA679" s="129"/>
      <c r="AB679" s="129"/>
      <c r="AC679" s="129"/>
      <c r="AD679" s="129">
        <v>0</v>
      </c>
      <c r="AE679" s="129"/>
      <c r="AF679" s="129"/>
      <c r="AG679" s="129"/>
      <c r="AH679" s="129"/>
      <c r="AI679" s="129">
        <v>0</v>
      </c>
      <c r="AJ679" s="129"/>
      <c r="AK679" s="129"/>
    </row>
    <row r="680" spans="3:37" ht="14.85" customHeight="1" x14ac:dyDescent="0.15">
      <c r="C680" s="132">
        <v>44817</v>
      </c>
      <c r="D680" s="132"/>
      <c r="E680" s="132">
        <v>44818</v>
      </c>
      <c r="F680" s="132"/>
      <c r="G680" s="132"/>
      <c r="H680" s="132"/>
      <c r="I680" s="133" t="s">
        <v>621</v>
      </c>
      <c r="J680" s="133"/>
      <c r="K680" s="133"/>
      <c r="L680" s="133"/>
      <c r="M680" s="133"/>
      <c r="N680" s="134" t="s">
        <v>620</v>
      </c>
      <c r="O680" s="134"/>
      <c r="P680" s="134" t="s">
        <v>636</v>
      </c>
      <c r="Q680" s="134"/>
      <c r="R680" s="134"/>
      <c r="S680" s="134"/>
      <c r="T680" s="135">
        <v>2208139938</v>
      </c>
      <c r="U680" s="135"/>
      <c r="V680" s="136" t="s">
        <v>618</v>
      </c>
      <c r="W680" s="136"/>
      <c r="X680" s="129">
        <v>8920</v>
      </c>
      <c r="Y680" s="129"/>
      <c r="Z680" s="129">
        <v>8920</v>
      </c>
      <c r="AA680" s="129"/>
      <c r="AB680" s="129"/>
      <c r="AC680" s="129"/>
      <c r="AD680" s="129">
        <v>0</v>
      </c>
      <c r="AE680" s="129"/>
      <c r="AF680" s="129"/>
      <c r="AG680" s="129"/>
      <c r="AH680" s="129"/>
      <c r="AI680" s="129">
        <v>0</v>
      </c>
      <c r="AJ680" s="129"/>
      <c r="AK680" s="129"/>
    </row>
    <row r="681" spans="3:37" ht="14.85" customHeight="1" x14ac:dyDescent="0.15">
      <c r="C681" s="132">
        <v>44820</v>
      </c>
      <c r="D681" s="132"/>
      <c r="E681" s="132">
        <v>44821</v>
      </c>
      <c r="F681" s="132"/>
      <c r="G681" s="132"/>
      <c r="H681" s="132"/>
      <c r="I681" s="133" t="s">
        <v>621</v>
      </c>
      <c r="J681" s="133"/>
      <c r="K681" s="133"/>
      <c r="L681" s="133"/>
      <c r="M681" s="133"/>
      <c r="N681" s="134" t="s">
        <v>620</v>
      </c>
      <c r="O681" s="134"/>
      <c r="P681" s="134" t="s">
        <v>632</v>
      </c>
      <c r="Q681" s="134"/>
      <c r="R681" s="134"/>
      <c r="S681" s="134"/>
      <c r="T681" s="135">
        <v>1168119948</v>
      </c>
      <c r="U681" s="135"/>
      <c r="V681" s="136" t="s">
        <v>618</v>
      </c>
      <c r="W681" s="136"/>
      <c r="X681" s="129">
        <v>35280</v>
      </c>
      <c r="Y681" s="129"/>
      <c r="Z681" s="129">
        <v>35280</v>
      </c>
      <c r="AA681" s="129"/>
      <c r="AB681" s="129"/>
      <c r="AC681" s="129"/>
      <c r="AD681" s="129">
        <v>0</v>
      </c>
      <c r="AE681" s="129"/>
      <c r="AF681" s="129"/>
      <c r="AG681" s="129"/>
      <c r="AH681" s="129"/>
      <c r="AI681" s="129">
        <v>0</v>
      </c>
      <c r="AJ681" s="129"/>
      <c r="AK681" s="129"/>
    </row>
    <row r="682" spans="3:37" ht="14.85" customHeight="1" x14ac:dyDescent="0.15">
      <c r="C682" s="132">
        <v>44821</v>
      </c>
      <c r="D682" s="132"/>
      <c r="E682" s="132">
        <v>44824</v>
      </c>
      <c r="F682" s="132"/>
      <c r="G682" s="132"/>
      <c r="H682" s="132"/>
      <c r="I682" s="133" t="s">
        <v>621</v>
      </c>
      <c r="J682" s="133"/>
      <c r="K682" s="133"/>
      <c r="L682" s="133"/>
      <c r="M682" s="133"/>
      <c r="N682" s="134" t="s">
        <v>620</v>
      </c>
      <c r="O682" s="134"/>
      <c r="P682" s="134" t="s">
        <v>635</v>
      </c>
      <c r="Q682" s="134"/>
      <c r="R682" s="134"/>
      <c r="S682" s="134"/>
      <c r="T682" s="135">
        <v>2208201439</v>
      </c>
      <c r="U682" s="135"/>
      <c r="V682" s="136" t="s">
        <v>626</v>
      </c>
      <c r="W682" s="136"/>
      <c r="X682" s="129">
        <v>12870</v>
      </c>
      <c r="Y682" s="129"/>
      <c r="Z682" s="129">
        <v>12870</v>
      </c>
      <c r="AA682" s="129"/>
      <c r="AB682" s="129"/>
      <c r="AC682" s="129"/>
      <c r="AD682" s="129">
        <v>0</v>
      </c>
      <c r="AE682" s="129"/>
      <c r="AF682" s="129"/>
      <c r="AG682" s="129"/>
      <c r="AH682" s="129"/>
      <c r="AI682" s="129">
        <v>0</v>
      </c>
      <c r="AJ682" s="129"/>
      <c r="AK682" s="129"/>
    </row>
    <row r="683" spans="3:37" ht="14.85" customHeight="1" x14ac:dyDescent="0.15">
      <c r="C683" s="132">
        <v>44833</v>
      </c>
      <c r="D683" s="132"/>
      <c r="E683" s="132">
        <v>44834</v>
      </c>
      <c r="F683" s="132"/>
      <c r="G683" s="132"/>
      <c r="H683" s="132"/>
      <c r="I683" s="133" t="s">
        <v>621</v>
      </c>
      <c r="J683" s="133"/>
      <c r="K683" s="133"/>
      <c r="L683" s="133"/>
      <c r="M683" s="133"/>
      <c r="N683" s="134" t="s">
        <v>620</v>
      </c>
      <c r="O683" s="134"/>
      <c r="P683" s="134" t="s">
        <v>627</v>
      </c>
      <c r="Q683" s="134"/>
      <c r="R683" s="134"/>
      <c r="S683" s="134"/>
      <c r="T683" s="135">
        <v>2329300384</v>
      </c>
      <c r="U683" s="135"/>
      <c r="V683" s="136" t="s">
        <v>626</v>
      </c>
      <c r="W683" s="136"/>
      <c r="X683" s="129">
        <v>4600</v>
      </c>
      <c r="Y683" s="129"/>
      <c r="Z683" s="129">
        <v>4600</v>
      </c>
      <c r="AA683" s="129"/>
      <c r="AB683" s="129"/>
      <c r="AC683" s="129"/>
      <c r="AD683" s="129">
        <v>0</v>
      </c>
      <c r="AE683" s="129"/>
      <c r="AF683" s="129"/>
      <c r="AG683" s="129"/>
      <c r="AH683" s="129"/>
      <c r="AI683" s="129">
        <v>0</v>
      </c>
      <c r="AJ683" s="129"/>
      <c r="AK683" s="129"/>
    </row>
    <row r="684" spans="3:37" ht="14.85" customHeight="1" x14ac:dyDescent="0.15">
      <c r="C684" s="132">
        <v>44833</v>
      </c>
      <c r="D684" s="132"/>
      <c r="E684" s="132">
        <v>44834</v>
      </c>
      <c r="F684" s="132"/>
      <c r="G684" s="132"/>
      <c r="H684" s="132"/>
      <c r="I684" s="133" t="s">
        <v>621</v>
      </c>
      <c r="J684" s="133"/>
      <c r="K684" s="133"/>
      <c r="L684" s="133"/>
      <c r="M684" s="133"/>
      <c r="N684" s="134" t="s">
        <v>620</v>
      </c>
      <c r="O684" s="134"/>
      <c r="P684" s="134" t="s">
        <v>625</v>
      </c>
      <c r="Q684" s="134"/>
      <c r="R684" s="134"/>
      <c r="S684" s="134"/>
      <c r="T684" s="135">
        <v>6073354644</v>
      </c>
      <c r="U684" s="135"/>
      <c r="V684" s="136" t="s">
        <v>618</v>
      </c>
      <c r="W684" s="136"/>
      <c r="X684" s="129">
        <v>35000</v>
      </c>
      <c r="Y684" s="129"/>
      <c r="Z684" s="129">
        <v>35000</v>
      </c>
      <c r="AA684" s="129"/>
      <c r="AB684" s="129"/>
      <c r="AC684" s="129"/>
      <c r="AD684" s="129">
        <v>0</v>
      </c>
      <c r="AE684" s="129"/>
      <c r="AF684" s="129"/>
      <c r="AG684" s="129"/>
      <c r="AH684" s="129"/>
      <c r="AI684" s="129">
        <v>0</v>
      </c>
      <c r="AJ684" s="129"/>
      <c r="AK684" s="129"/>
    </row>
    <row r="685" spans="3:37" ht="14.85" customHeight="1" x14ac:dyDescent="0.15">
      <c r="C685" s="132">
        <v>44835</v>
      </c>
      <c r="D685" s="132"/>
      <c r="E685" s="132">
        <v>44836</v>
      </c>
      <c r="F685" s="132"/>
      <c r="G685" s="132"/>
      <c r="H685" s="132"/>
      <c r="I685" s="133" t="s">
        <v>621</v>
      </c>
      <c r="J685" s="133"/>
      <c r="K685" s="133"/>
      <c r="L685" s="133"/>
      <c r="M685" s="133"/>
      <c r="N685" s="134" t="s">
        <v>620</v>
      </c>
      <c r="O685" s="134"/>
      <c r="P685" s="134" t="s">
        <v>634</v>
      </c>
      <c r="Q685" s="134"/>
      <c r="R685" s="134"/>
      <c r="S685" s="134"/>
      <c r="T685" s="135">
        <v>1298638970</v>
      </c>
      <c r="U685" s="135"/>
      <c r="V685" s="136" t="s">
        <v>618</v>
      </c>
      <c r="W685" s="136"/>
      <c r="X685" s="129">
        <v>7200</v>
      </c>
      <c r="Y685" s="129"/>
      <c r="Z685" s="129">
        <v>7200</v>
      </c>
      <c r="AA685" s="129"/>
      <c r="AB685" s="129"/>
      <c r="AC685" s="129"/>
      <c r="AD685" s="129">
        <v>0</v>
      </c>
      <c r="AE685" s="129"/>
      <c r="AF685" s="129"/>
      <c r="AG685" s="129"/>
      <c r="AH685" s="129"/>
      <c r="AI685" s="129">
        <v>0</v>
      </c>
      <c r="AJ685" s="129"/>
      <c r="AK685" s="129"/>
    </row>
    <row r="686" spans="3:37" ht="14.85" customHeight="1" x14ac:dyDescent="0.15">
      <c r="C686" s="132">
        <v>44834</v>
      </c>
      <c r="D686" s="132"/>
      <c r="E686" s="132">
        <v>44838</v>
      </c>
      <c r="F686" s="132"/>
      <c r="G686" s="132"/>
      <c r="H686" s="132"/>
      <c r="I686" s="133" t="s">
        <v>621</v>
      </c>
      <c r="J686" s="133"/>
      <c r="K686" s="133"/>
      <c r="L686" s="133"/>
      <c r="M686" s="133"/>
      <c r="N686" s="134" t="s">
        <v>620</v>
      </c>
      <c r="O686" s="134"/>
      <c r="P686" s="134" t="s">
        <v>633</v>
      </c>
      <c r="Q686" s="134"/>
      <c r="R686" s="134"/>
      <c r="S686" s="134"/>
      <c r="T686" s="135">
        <v>1028132035</v>
      </c>
      <c r="U686" s="135"/>
      <c r="V686" s="136" t="s">
        <v>618</v>
      </c>
      <c r="W686" s="136"/>
      <c r="X686" s="129">
        <v>1420560</v>
      </c>
      <c r="Y686" s="129"/>
      <c r="Z686" s="129">
        <v>1420560</v>
      </c>
      <c r="AA686" s="129"/>
      <c r="AB686" s="129"/>
      <c r="AC686" s="129"/>
      <c r="AD686" s="129">
        <v>0</v>
      </c>
      <c r="AE686" s="129"/>
      <c r="AF686" s="129"/>
      <c r="AG686" s="129"/>
      <c r="AH686" s="129"/>
      <c r="AI686" s="129">
        <v>0</v>
      </c>
      <c r="AJ686" s="129"/>
      <c r="AK686" s="129"/>
    </row>
    <row r="687" spans="3:37" ht="14.85" customHeight="1" x14ac:dyDescent="0.15">
      <c r="C687" s="132">
        <v>44834</v>
      </c>
      <c r="D687" s="132"/>
      <c r="E687" s="132">
        <v>44838</v>
      </c>
      <c r="F687" s="132"/>
      <c r="G687" s="132"/>
      <c r="H687" s="132"/>
      <c r="I687" s="133" t="s">
        <v>621</v>
      </c>
      <c r="J687" s="133"/>
      <c r="K687" s="133"/>
      <c r="L687" s="133"/>
      <c r="M687" s="133"/>
      <c r="N687" s="134" t="s">
        <v>620</v>
      </c>
      <c r="O687" s="134"/>
      <c r="P687" s="134" t="s">
        <v>633</v>
      </c>
      <c r="Q687" s="134"/>
      <c r="R687" s="134"/>
      <c r="S687" s="134"/>
      <c r="T687" s="135">
        <v>1028132035</v>
      </c>
      <c r="U687" s="135"/>
      <c r="V687" s="136" t="s">
        <v>618</v>
      </c>
      <c r="W687" s="136"/>
      <c r="X687" s="129">
        <v>371400</v>
      </c>
      <c r="Y687" s="129"/>
      <c r="Z687" s="129">
        <v>371400</v>
      </c>
      <c r="AA687" s="129"/>
      <c r="AB687" s="129"/>
      <c r="AC687" s="129"/>
      <c r="AD687" s="129">
        <v>0</v>
      </c>
      <c r="AE687" s="129"/>
      <c r="AF687" s="129"/>
      <c r="AG687" s="129"/>
      <c r="AH687" s="129"/>
      <c r="AI687" s="129">
        <v>0</v>
      </c>
      <c r="AJ687" s="129"/>
      <c r="AK687" s="129"/>
    </row>
    <row r="688" spans="3:37" ht="14.85" customHeight="1" x14ac:dyDescent="0.15">
      <c r="C688" s="132">
        <v>44834</v>
      </c>
      <c r="D688" s="132"/>
      <c r="E688" s="132">
        <v>44840</v>
      </c>
      <c r="F688" s="132"/>
      <c r="G688" s="132"/>
      <c r="H688" s="132"/>
      <c r="I688" s="133" t="s">
        <v>621</v>
      </c>
      <c r="J688" s="133"/>
      <c r="K688" s="133"/>
      <c r="L688" s="133"/>
      <c r="M688" s="133"/>
      <c r="N688" s="134" t="s">
        <v>620</v>
      </c>
      <c r="O688" s="134"/>
      <c r="P688" s="134" t="s">
        <v>633</v>
      </c>
      <c r="Q688" s="134"/>
      <c r="R688" s="134"/>
      <c r="S688" s="134"/>
      <c r="T688" s="135">
        <v>1028132035</v>
      </c>
      <c r="U688" s="135"/>
      <c r="V688" s="136" t="s">
        <v>618</v>
      </c>
      <c r="W688" s="136"/>
      <c r="X688" s="129">
        <v>-1420560</v>
      </c>
      <c r="Y688" s="129"/>
      <c r="Z688" s="129">
        <v>-1420560</v>
      </c>
      <c r="AA688" s="129"/>
      <c r="AB688" s="129"/>
      <c r="AC688" s="129"/>
      <c r="AD688" s="129">
        <v>0</v>
      </c>
      <c r="AE688" s="129"/>
      <c r="AF688" s="129"/>
      <c r="AG688" s="129"/>
      <c r="AH688" s="129"/>
      <c r="AI688" s="129">
        <v>0</v>
      </c>
      <c r="AJ688" s="129"/>
      <c r="AK688" s="129"/>
    </row>
    <row r="689" spans="3:37" ht="14.85" customHeight="1" x14ac:dyDescent="0.15">
      <c r="C689" s="132">
        <v>44852</v>
      </c>
      <c r="D689" s="132"/>
      <c r="E689" s="132">
        <v>44853</v>
      </c>
      <c r="F689" s="132"/>
      <c r="G689" s="132"/>
      <c r="H689" s="132"/>
      <c r="I689" s="133" t="s">
        <v>621</v>
      </c>
      <c r="J689" s="133"/>
      <c r="K689" s="133"/>
      <c r="L689" s="133"/>
      <c r="M689" s="133"/>
      <c r="N689" s="134" t="s">
        <v>620</v>
      </c>
      <c r="O689" s="134"/>
      <c r="P689" s="134" t="s">
        <v>632</v>
      </c>
      <c r="Q689" s="134"/>
      <c r="R689" s="134"/>
      <c r="S689" s="134"/>
      <c r="T689" s="135">
        <v>1168119948</v>
      </c>
      <c r="U689" s="135"/>
      <c r="V689" s="136" t="s">
        <v>618</v>
      </c>
      <c r="W689" s="136"/>
      <c r="X689" s="129">
        <v>20970</v>
      </c>
      <c r="Y689" s="129"/>
      <c r="Z689" s="129">
        <v>20970</v>
      </c>
      <c r="AA689" s="129"/>
      <c r="AB689" s="129"/>
      <c r="AC689" s="129"/>
      <c r="AD689" s="129">
        <v>0</v>
      </c>
      <c r="AE689" s="129"/>
      <c r="AF689" s="129"/>
      <c r="AG689" s="129"/>
      <c r="AH689" s="129"/>
      <c r="AI689" s="129">
        <v>0</v>
      </c>
      <c r="AJ689" s="129"/>
      <c r="AK689" s="129"/>
    </row>
    <row r="690" spans="3:37" ht="14.85" customHeight="1" x14ac:dyDescent="0.15">
      <c r="C690" s="132">
        <v>44861</v>
      </c>
      <c r="D690" s="132"/>
      <c r="E690" s="132">
        <v>44862</v>
      </c>
      <c r="F690" s="132"/>
      <c r="G690" s="132"/>
      <c r="H690" s="132"/>
      <c r="I690" s="133" t="s">
        <v>621</v>
      </c>
      <c r="J690" s="133"/>
      <c r="K690" s="133"/>
      <c r="L690" s="133"/>
      <c r="M690" s="133"/>
      <c r="N690" s="134" t="s">
        <v>620</v>
      </c>
      <c r="O690" s="134"/>
      <c r="P690" s="134" t="s">
        <v>631</v>
      </c>
      <c r="Q690" s="134"/>
      <c r="R690" s="134"/>
      <c r="S690" s="134"/>
      <c r="T690" s="135">
        <v>1168119948</v>
      </c>
      <c r="U690" s="135"/>
      <c r="V690" s="136" t="s">
        <v>618</v>
      </c>
      <c r="W690" s="136"/>
      <c r="X690" s="129">
        <v>34640</v>
      </c>
      <c r="Y690" s="129"/>
      <c r="Z690" s="129">
        <v>31491</v>
      </c>
      <c r="AA690" s="129"/>
      <c r="AB690" s="129"/>
      <c r="AC690" s="129"/>
      <c r="AD690" s="129">
        <v>3149</v>
      </c>
      <c r="AE690" s="129"/>
      <c r="AF690" s="129"/>
      <c r="AG690" s="129"/>
      <c r="AH690" s="129"/>
      <c r="AI690" s="129">
        <v>0</v>
      </c>
      <c r="AJ690" s="129"/>
      <c r="AK690" s="129"/>
    </row>
    <row r="691" spans="3:37" ht="14.85" customHeight="1" x14ac:dyDescent="0.15">
      <c r="C691" s="132">
        <v>44868</v>
      </c>
      <c r="D691" s="132"/>
      <c r="E691" s="132">
        <v>44869</v>
      </c>
      <c r="F691" s="132"/>
      <c r="G691" s="132"/>
      <c r="H691" s="132"/>
      <c r="I691" s="133" t="s">
        <v>621</v>
      </c>
      <c r="J691" s="133"/>
      <c r="K691" s="133"/>
      <c r="L691" s="133"/>
      <c r="M691" s="133"/>
      <c r="N691" s="134" t="s">
        <v>630</v>
      </c>
      <c r="O691" s="134"/>
      <c r="P691" s="134" t="s">
        <v>147</v>
      </c>
      <c r="Q691" s="134"/>
      <c r="R691" s="134"/>
      <c r="S691" s="134"/>
      <c r="T691" s="135">
        <v>5248601528</v>
      </c>
      <c r="U691" s="135"/>
      <c r="V691" s="136" t="s">
        <v>618</v>
      </c>
      <c r="W691" s="136"/>
      <c r="X691" s="129">
        <v>227900</v>
      </c>
      <c r="Y691" s="129"/>
      <c r="Z691" s="129">
        <v>227900</v>
      </c>
      <c r="AA691" s="129"/>
      <c r="AB691" s="129"/>
      <c r="AC691" s="129"/>
      <c r="AD691" s="129">
        <v>0</v>
      </c>
      <c r="AE691" s="129"/>
      <c r="AF691" s="129"/>
      <c r="AG691" s="129"/>
      <c r="AH691" s="129"/>
      <c r="AI691" s="129">
        <v>0</v>
      </c>
      <c r="AJ691" s="129"/>
      <c r="AK691" s="129"/>
    </row>
    <row r="692" spans="3:37" ht="14.85" customHeight="1" x14ac:dyDescent="0.15">
      <c r="C692" s="132">
        <v>44869</v>
      </c>
      <c r="D692" s="132"/>
      <c r="E692" s="132">
        <v>44870</v>
      </c>
      <c r="F692" s="132"/>
      <c r="G692" s="132"/>
      <c r="H692" s="132"/>
      <c r="I692" s="133" t="s">
        <v>621</v>
      </c>
      <c r="J692" s="133"/>
      <c r="K692" s="133"/>
      <c r="L692" s="133"/>
      <c r="M692" s="133"/>
      <c r="N692" s="134" t="s">
        <v>620</v>
      </c>
      <c r="O692" s="134"/>
      <c r="P692" s="134" t="s">
        <v>627</v>
      </c>
      <c r="Q692" s="134"/>
      <c r="R692" s="134"/>
      <c r="S692" s="134"/>
      <c r="T692" s="135">
        <v>2329300384</v>
      </c>
      <c r="U692" s="135"/>
      <c r="V692" s="136" t="s">
        <v>626</v>
      </c>
      <c r="W692" s="136"/>
      <c r="X692" s="129">
        <v>4200</v>
      </c>
      <c r="Y692" s="129"/>
      <c r="Z692" s="129">
        <v>4200</v>
      </c>
      <c r="AA692" s="129"/>
      <c r="AB692" s="129"/>
      <c r="AC692" s="129"/>
      <c r="AD692" s="129">
        <v>0</v>
      </c>
      <c r="AE692" s="129"/>
      <c r="AF692" s="129"/>
      <c r="AG692" s="129"/>
      <c r="AH692" s="129"/>
      <c r="AI692" s="129">
        <v>0</v>
      </c>
      <c r="AJ692" s="129"/>
      <c r="AK692" s="129"/>
    </row>
    <row r="693" spans="3:37" ht="14.85" customHeight="1" x14ac:dyDescent="0.15">
      <c r="C693" s="132">
        <v>44869</v>
      </c>
      <c r="D693" s="132"/>
      <c r="E693" s="132">
        <v>44870</v>
      </c>
      <c r="F693" s="132"/>
      <c r="G693" s="132"/>
      <c r="H693" s="132"/>
      <c r="I693" s="133" t="s">
        <v>621</v>
      </c>
      <c r="J693" s="133"/>
      <c r="K693" s="133"/>
      <c r="L693" s="133"/>
      <c r="M693" s="133"/>
      <c r="N693" s="134" t="s">
        <v>620</v>
      </c>
      <c r="O693" s="134"/>
      <c r="P693" s="134" t="s">
        <v>625</v>
      </c>
      <c r="Q693" s="134"/>
      <c r="R693" s="134"/>
      <c r="S693" s="134"/>
      <c r="T693" s="135">
        <v>6073354644</v>
      </c>
      <c r="U693" s="135"/>
      <c r="V693" s="136" t="s">
        <v>618</v>
      </c>
      <c r="W693" s="136"/>
      <c r="X693" s="129">
        <v>35000</v>
      </c>
      <c r="Y693" s="129"/>
      <c r="Z693" s="129">
        <v>35000</v>
      </c>
      <c r="AA693" s="129"/>
      <c r="AB693" s="129"/>
      <c r="AC693" s="129"/>
      <c r="AD693" s="129">
        <v>0</v>
      </c>
      <c r="AE693" s="129"/>
      <c r="AF693" s="129"/>
      <c r="AG693" s="129"/>
      <c r="AH693" s="129"/>
      <c r="AI693" s="129">
        <v>0</v>
      </c>
      <c r="AJ693" s="129"/>
      <c r="AK693" s="129"/>
    </row>
    <row r="694" spans="3:37" ht="14.85" customHeight="1" x14ac:dyDescent="0.15">
      <c r="C694" s="132">
        <v>44886</v>
      </c>
      <c r="D694" s="132"/>
      <c r="E694" s="132">
        <v>44887</v>
      </c>
      <c r="F694" s="132"/>
      <c r="G694" s="132"/>
      <c r="H694" s="132"/>
      <c r="I694" s="133" t="s">
        <v>621</v>
      </c>
      <c r="J694" s="133"/>
      <c r="K694" s="133"/>
      <c r="L694" s="133"/>
      <c r="M694" s="133"/>
      <c r="N694" s="134" t="s">
        <v>620</v>
      </c>
      <c r="O694" s="134"/>
      <c r="P694" s="134" t="s">
        <v>629</v>
      </c>
      <c r="Q694" s="134"/>
      <c r="R694" s="134"/>
      <c r="S694" s="134"/>
      <c r="T694" s="135">
        <v>2208101733</v>
      </c>
      <c r="U694" s="135"/>
      <c r="V694" s="136" t="s">
        <v>618</v>
      </c>
      <c r="W694" s="136"/>
      <c r="X694" s="129">
        <v>400</v>
      </c>
      <c r="Y694" s="129"/>
      <c r="Z694" s="129">
        <v>364</v>
      </c>
      <c r="AA694" s="129"/>
      <c r="AB694" s="129"/>
      <c r="AC694" s="129"/>
      <c r="AD694" s="129">
        <v>36</v>
      </c>
      <c r="AE694" s="129"/>
      <c r="AF694" s="129"/>
      <c r="AG694" s="129"/>
      <c r="AH694" s="129"/>
      <c r="AI694" s="129">
        <v>0</v>
      </c>
      <c r="AJ694" s="129"/>
      <c r="AK694" s="129"/>
    </row>
    <row r="695" spans="3:37" ht="14.85" customHeight="1" x14ac:dyDescent="0.15">
      <c r="C695" s="132">
        <v>44899</v>
      </c>
      <c r="D695" s="132"/>
      <c r="E695" s="132">
        <v>44900</v>
      </c>
      <c r="F695" s="132"/>
      <c r="G695" s="132"/>
      <c r="H695" s="132"/>
      <c r="I695" s="133" t="s">
        <v>621</v>
      </c>
      <c r="J695" s="133"/>
      <c r="K695" s="133"/>
      <c r="L695" s="133"/>
      <c r="M695" s="133"/>
      <c r="N695" s="134" t="s">
        <v>620</v>
      </c>
      <c r="O695" s="134"/>
      <c r="P695" s="134" t="s">
        <v>628</v>
      </c>
      <c r="Q695" s="134"/>
      <c r="R695" s="134"/>
      <c r="S695" s="134"/>
      <c r="T695" s="135">
        <v>1138521083</v>
      </c>
      <c r="U695" s="135"/>
      <c r="V695" s="136" t="s">
        <v>618</v>
      </c>
      <c r="W695" s="136"/>
      <c r="X695" s="129">
        <v>79800</v>
      </c>
      <c r="Y695" s="129"/>
      <c r="Z695" s="129">
        <v>72545</v>
      </c>
      <c r="AA695" s="129"/>
      <c r="AB695" s="129"/>
      <c r="AC695" s="129"/>
      <c r="AD695" s="129">
        <v>7255</v>
      </c>
      <c r="AE695" s="129"/>
      <c r="AF695" s="129"/>
      <c r="AG695" s="129"/>
      <c r="AH695" s="129"/>
      <c r="AI695" s="129">
        <v>0</v>
      </c>
      <c r="AJ695" s="129"/>
      <c r="AK695" s="129"/>
    </row>
    <row r="696" spans="3:37" ht="14.85" customHeight="1" x14ac:dyDescent="0.15">
      <c r="C696" s="132">
        <v>44902</v>
      </c>
      <c r="D696" s="132"/>
      <c r="E696" s="132">
        <v>44903</v>
      </c>
      <c r="F696" s="132"/>
      <c r="G696" s="132"/>
      <c r="H696" s="132"/>
      <c r="I696" s="133" t="s">
        <v>621</v>
      </c>
      <c r="J696" s="133"/>
      <c r="K696" s="133"/>
      <c r="L696" s="133"/>
      <c r="M696" s="133"/>
      <c r="N696" s="134" t="s">
        <v>620</v>
      </c>
      <c r="O696" s="134"/>
      <c r="P696" s="134" t="s">
        <v>627</v>
      </c>
      <c r="Q696" s="134"/>
      <c r="R696" s="134"/>
      <c r="S696" s="134"/>
      <c r="T696" s="135">
        <v>2329300384</v>
      </c>
      <c r="U696" s="135"/>
      <c r="V696" s="136" t="s">
        <v>626</v>
      </c>
      <c r="W696" s="136"/>
      <c r="X696" s="129">
        <v>24800</v>
      </c>
      <c r="Y696" s="129"/>
      <c r="Z696" s="129">
        <v>24800</v>
      </c>
      <c r="AA696" s="129"/>
      <c r="AB696" s="129"/>
      <c r="AC696" s="129"/>
      <c r="AD696" s="129">
        <v>0</v>
      </c>
      <c r="AE696" s="129"/>
      <c r="AF696" s="129"/>
      <c r="AG696" s="129"/>
      <c r="AH696" s="129"/>
      <c r="AI696" s="129">
        <v>0</v>
      </c>
      <c r="AJ696" s="129"/>
      <c r="AK696" s="129"/>
    </row>
    <row r="697" spans="3:37" ht="14.85" customHeight="1" x14ac:dyDescent="0.15">
      <c r="C697" s="132">
        <v>44904</v>
      </c>
      <c r="D697" s="132"/>
      <c r="E697" s="132">
        <v>44905</v>
      </c>
      <c r="F697" s="132"/>
      <c r="G697" s="132"/>
      <c r="H697" s="132"/>
      <c r="I697" s="133" t="s">
        <v>621</v>
      </c>
      <c r="J697" s="133"/>
      <c r="K697" s="133"/>
      <c r="L697" s="133"/>
      <c r="M697" s="133"/>
      <c r="N697" s="134" t="s">
        <v>620</v>
      </c>
      <c r="O697" s="134"/>
      <c r="P697" s="134" t="s">
        <v>627</v>
      </c>
      <c r="Q697" s="134"/>
      <c r="R697" s="134"/>
      <c r="S697" s="134"/>
      <c r="T697" s="135">
        <v>2329300384</v>
      </c>
      <c r="U697" s="135"/>
      <c r="V697" s="136" t="s">
        <v>626</v>
      </c>
      <c r="W697" s="136"/>
      <c r="X697" s="129">
        <v>4200</v>
      </c>
      <c r="Y697" s="129"/>
      <c r="Z697" s="129">
        <v>4200</v>
      </c>
      <c r="AA697" s="129"/>
      <c r="AB697" s="129"/>
      <c r="AC697" s="129"/>
      <c r="AD697" s="129">
        <v>0</v>
      </c>
      <c r="AE697" s="129"/>
      <c r="AF697" s="129"/>
      <c r="AG697" s="129"/>
      <c r="AH697" s="129"/>
      <c r="AI697" s="129">
        <v>0</v>
      </c>
      <c r="AJ697" s="129"/>
      <c r="AK697" s="129"/>
    </row>
    <row r="698" spans="3:37" ht="14.85" customHeight="1" x14ac:dyDescent="0.15">
      <c r="C698" s="132">
        <v>44904</v>
      </c>
      <c r="D698" s="132"/>
      <c r="E698" s="132">
        <v>44905</v>
      </c>
      <c r="F698" s="132"/>
      <c r="G698" s="132"/>
      <c r="H698" s="132"/>
      <c r="I698" s="133" t="s">
        <v>621</v>
      </c>
      <c r="J698" s="133"/>
      <c r="K698" s="133"/>
      <c r="L698" s="133"/>
      <c r="M698" s="133"/>
      <c r="N698" s="134" t="s">
        <v>620</v>
      </c>
      <c r="O698" s="134"/>
      <c r="P698" s="134" t="s">
        <v>625</v>
      </c>
      <c r="Q698" s="134"/>
      <c r="R698" s="134"/>
      <c r="S698" s="134"/>
      <c r="T698" s="135">
        <v>6073354644</v>
      </c>
      <c r="U698" s="135"/>
      <c r="V698" s="136" t="s">
        <v>618</v>
      </c>
      <c r="W698" s="136"/>
      <c r="X698" s="129">
        <v>34200</v>
      </c>
      <c r="Y698" s="129"/>
      <c r="Z698" s="129">
        <v>34200</v>
      </c>
      <c r="AA698" s="129"/>
      <c r="AB698" s="129"/>
      <c r="AC698" s="129"/>
      <c r="AD698" s="129">
        <v>0</v>
      </c>
      <c r="AE698" s="129"/>
      <c r="AF698" s="129"/>
      <c r="AG698" s="129"/>
      <c r="AH698" s="129"/>
      <c r="AI698" s="129">
        <v>0</v>
      </c>
      <c r="AJ698" s="129"/>
      <c r="AK698" s="129"/>
    </row>
    <row r="699" spans="3:37" ht="14.85" customHeight="1" x14ac:dyDescent="0.15">
      <c r="C699" s="132">
        <v>44911</v>
      </c>
      <c r="D699" s="132"/>
      <c r="E699" s="132">
        <v>44912</v>
      </c>
      <c r="F699" s="132"/>
      <c r="G699" s="132"/>
      <c r="H699" s="132"/>
      <c r="I699" s="133" t="s">
        <v>621</v>
      </c>
      <c r="J699" s="133"/>
      <c r="K699" s="133"/>
      <c r="L699" s="133"/>
      <c r="M699" s="133"/>
      <c r="N699" s="134" t="s">
        <v>620</v>
      </c>
      <c r="O699" s="134"/>
      <c r="P699" s="134" t="s">
        <v>619</v>
      </c>
      <c r="Q699" s="134"/>
      <c r="R699" s="134"/>
      <c r="S699" s="134"/>
      <c r="T699" s="135">
        <v>1138144055</v>
      </c>
      <c r="U699" s="135"/>
      <c r="V699" s="136" t="s">
        <v>618</v>
      </c>
      <c r="W699" s="136"/>
      <c r="X699" s="129">
        <v>13200</v>
      </c>
      <c r="Y699" s="129"/>
      <c r="Z699" s="129">
        <v>13200</v>
      </c>
      <c r="AA699" s="129"/>
      <c r="AB699" s="129"/>
      <c r="AC699" s="129"/>
      <c r="AD699" s="129">
        <v>0</v>
      </c>
      <c r="AE699" s="129"/>
      <c r="AF699" s="129"/>
      <c r="AG699" s="129"/>
      <c r="AH699" s="129"/>
      <c r="AI699" s="129">
        <v>0</v>
      </c>
      <c r="AJ699" s="129"/>
      <c r="AK699" s="129"/>
    </row>
    <row r="700" spans="3:37" ht="14.85" customHeight="1" x14ac:dyDescent="0.15">
      <c r="C700" s="132">
        <v>44914</v>
      </c>
      <c r="D700" s="132"/>
      <c r="E700" s="132">
        <v>44915</v>
      </c>
      <c r="F700" s="132"/>
      <c r="G700" s="132"/>
      <c r="H700" s="132"/>
      <c r="I700" s="133" t="s">
        <v>621</v>
      </c>
      <c r="J700" s="133"/>
      <c r="K700" s="133"/>
      <c r="L700" s="133"/>
      <c r="M700" s="133"/>
      <c r="N700" s="134" t="s">
        <v>620</v>
      </c>
      <c r="O700" s="134"/>
      <c r="P700" s="134" t="s">
        <v>619</v>
      </c>
      <c r="Q700" s="134"/>
      <c r="R700" s="134"/>
      <c r="S700" s="134"/>
      <c r="T700" s="135">
        <v>1138144055</v>
      </c>
      <c r="U700" s="135"/>
      <c r="V700" s="136" t="s">
        <v>618</v>
      </c>
      <c r="W700" s="136"/>
      <c r="X700" s="129">
        <v>13200</v>
      </c>
      <c r="Y700" s="129"/>
      <c r="Z700" s="129">
        <v>13200</v>
      </c>
      <c r="AA700" s="129"/>
      <c r="AB700" s="129"/>
      <c r="AC700" s="129"/>
      <c r="AD700" s="129">
        <v>0</v>
      </c>
      <c r="AE700" s="129"/>
      <c r="AF700" s="129"/>
      <c r="AG700" s="129"/>
      <c r="AH700" s="129"/>
      <c r="AI700" s="129">
        <v>0</v>
      </c>
      <c r="AJ700" s="129"/>
      <c r="AK700" s="129"/>
    </row>
    <row r="701" spans="3:37" ht="14.85" customHeight="1" x14ac:dyDescent="0.15">
      <c r="C701" s="132">
        <v>44915</v>
      </c>
      <c r="D701" s="132"/>
      <c r="E701" s="132">
        <v>44916</v>
      </c>
      <c r="F701" s="132"/>
      <c r="G701" s="132"/>
      <c r="H701" s="132"/>
      <c r="I701" s="133" t="s">
        <v>621</v>
      </c>
      <c r="J701" s="133"/>
      <c r="K701" s="133"/>
      <c r="L701" s="133"/>
      <c r="M701" s="133"/>
      <c r="N701" s="134" t="s">
        <v>624</v>
      </c>
      <c r="O701" s="134"/>
      <c r="P701" s="134" t="s">
        <v>623</v>
      </c>
      <c r="Q701" s="134"/>
      <c r="R701" s="134"/>
      <c r="S701" s="134"/>
      <c r="T701" s="135">
        <v>2109087866</v>
      </c>
      <c r="U701" s="135"/>
      <c r="V701" s="136" t="s">
        <v>622</v>
      </c>
      <c r="W701" s="136"/>
      <c r="X701" s="129">
        <v>700000</v>
      </c>
      <c r="Y701" s="129"/>
      <c r="Z701" s="129">
        <v>636364</v>
      </c>
      <c r="AA701" s="129"/>
      <c r="AB701" s="129"/>
      <c r="AC701" s="129"/>
      <c r="AD701" s="129">
        <v>63636</v>
      </c>
      <c r="AE701" s="129"/>
      <c r="AF701" s="129"/>
      <c r="AG701" s="129"/>
      <c r="AH701" s="129"/>
      <c r="AI701" s="129">
        <v>0</v>
      </c>
      <c r="AJ701" s="129"/>
      <c r="AK701" s="129"/>
    </row>
    <row r="702" spans="3:37" ht="14.85" customHeight="1" x14ac:dyDescent="0.15">
      <c r="C702" s="132">
        <v>44917</v>
      </c>
      <c r="D702" s="132"/>
      <c r="E702" s="132">
        <v>44918</v>
      </c>
      <c r="F702" s="132"/>
      <c r="G702" s="132"/>
      <c r="H702" s="132"/>
      <c r="I702" s="133" t="s">
        <v>621</v>
      </c>
      <c r="J702" s="133"/>
      <c r="K702" s="133"/>
      <c r="L702" s="133"/>
      <c r="M702" s="133"/>
      <c r="N702" s="134" t="s">
        <v>620</v>
      </c>
      <c r="O702" s="134"/>
      <c r="P702" s="134" t="s">
        <v>619</v>
      </c>
      <c r="Q702" s="134"/>
      <c r="R702" s="134"/>
      <c r="S702" s="134"/>
      <c r="T702" s="135">
        <v>1138144055</v>
      </c>
      <c r="U702" s="135"/>
      <c r="V702" s="136" t="s">
        <v>618</v>
      </c>
      <c r="W702" s="136"/>
      <c r="X702" s="129">
        <v>13200</v>
      </c>
      <c r="Y702" s="129"/>
      <c r="Z702" s="129">
        <v>13200</v>
      </c>
      <c r="AA702" s="129"/>
      <c r="AB702" s="129"/>
      <c r="AC702" s="129"/>
      <c r="AD702" s="129">
        <v>0</v>
      </c>
      <c r="AE702" s="129"/>
      <c r="AF702" s="129"/>
      <c r="AG702" s="129"/>
      <c r="AH702" s="129"/>
      <c r="AI702" s="129">
        <v>0</v>
      </c>
      <c r="AJ702" s="129"/>
      <c r="AK702" s="129"/>
    </row>
    <row r="703" spans="3:37" ht="14.85" customHeight="1" x14ac:dyDescent="0.15">
      <c r="C703" s="132">
        <v>44921</v>
      </c>
      <c r="D703" s="132"/>
      <c r="E703" s="132">
        <v>44922</v>
      </c>
      <c r="F703" s="132"/>
      <c r="G703" s="132"/>
      <c r="H703" s="132"/>
      <c r="I703" s="133" t="s">
        <v>621</v>
      </c>
      <c r="J703" s="133"/>
      <c r="K703" s="133"/>
      <c r="L703" s="133"/>
      <c r="M703" s="133"/>
      <c r="N703" s="134" t="s">
        <v>620</v>
      </c>
      <c r="O703" s="134"/>
      <c r="P703" s="134" t="s">
        <v>619</v>
      </c>
      <c r="Q703" s="134"/>
      <c r="R703" s="134"/>
      <c r="S703" s="134"/>
      <c r="T703" s="135">
        <v>1138144055</v>
      </c>
      <c r="U703" s="135"/>
      <c r="V703" s="136" t="s">
        <v>618</v>
      </c>
      <c r="W703" s="136"/>
      <c r="X703" s="129">
        <v>13200</v>
      </c>
      <c r="Y703" s="129"/>
      <c r="Z703" s="129">
        <v>13200</v>
      </c>
      <c r="AA703" s="129"/>
      <c r="AB703" s="129"/>
      <c r="AC703" s="129"/>
      <c r="AD703" s="129">
        <v>0</v>
      </c>
      <c r="AE703" s="129"/>
      <c r="AF703" s="129"/>
      <c r="AG703" s="129"/>
      <c r="AH703" s="129"/>
      <c r="AI703" s="129">
        <v>0</v>
      </c>
      <c r="AJ703" s="129"/>
      <c r="AK703" s="129"/>
    </row>
    <row r="704" spans="3:37" ht="14.85" customHeight="1" x14ac:dyDescent="0.15">
      <c r="C704" s="132">
        <v>44923</v>
      </c>
      <c r="D704" s="132"/>
      <c r="E704" s="132">
        <v>44924</v>
      </c>
      <c r="F704" s="132"/>
      <c r="G704" s="132"/>
      <c r="H704" s="132"/>
      <c r="I704" s="133" t="s">
        <v>621</v>
      </c>
      <c r="J704" s="133"/>
      <c r="K704" s="133"/>
      <c r="L704" s="133"/>
      <c r="M704" s="133"/>
      <c r="N704" s="134" t="s">
        <v>620</v>
      </c>
      <c r="O704" s="134"/>
      <c r="P704" s="134" t="s">
        <v>619</v>
      </c>
      <c r="Q704" s="134"/>
      <c r="R704" s="134"/>
      <c r="S704" s="134"/>
      <c r="T704" s="135">
        <v>1138144055</v>
      </c>
      <c r="U704" s="135"/>
      <c r="V704" s="136" t="s">
        <v>618</v>
      </c>
      <c r="W704" s="136"/>
      <c r="X704" s="129">
        <v>13200</v>
      </c>
      <c r="Y704" s="129"/>
      <c r="Z704" s="129">
        <v>13200</v>
      </c>
      <c r="AA704" s="129"/>
      <c r="AB704" s="129"/>
      <c r="AC704" s="129"/>
      <c r="AD704" s="129">
        <v>0</v>
      </c>
      <c r="AE704" s="129"/>
      <c r="AF704" s="129"/>
      <c r="AG704" s="129"/>
      <c r="AH704" s="129"/>
      <c r="AI704" s="129">
        <v>0</v>
      </c>
      <c r="AJ704" s="129"/>
      <c r="AK704" s="129"/>
    </row>
    <row r="705" spans="3:37" ht="14.85" customHeight="1" x14ac:dyDescent="0.15">
      <c r="C705" s="132">
        <v>44925</v>
      </c>
      <c r="D705" s="132"/>
      <c r="E705" s="132">
        <v>44926</v>
      </c>
      <c r="F705" s="132"/>
      <c r="G705" s="132"/>
      <c r="H705" s="132"/>
      <c r="I705" s="133" t="s">
        <v>621</v>
      </c>
      <c r="J705" s="133"/>
      <c r="K705" s="133"/>
      <c r="L705" s="133"/>
      <c r="M705" s="133"/>
      <c r="N705" s="134" t="s">
        <v>620</v>
      </c>
      <c r="O705" s="134"/>
      <c r="P705" s="134" t="s">
        <v>619</v>
      </c>
      <c r="Q705" s="134"/>
      <c r="R705" s="134"/>
      <c r="S705" s="134"/>
      <c r="T705" s="135">
        <v>1138144055</v>
      </c>
      <c r="U705" s="135"/>
      <c r="V705" s="136" t="s">
        <v>618</v>
      </c>
      <c r="W705" s="136"/>
      <c r="X705" s="129">
        <v>6600</v>
      </c>
      <c r="Y705" s="129"/>
      <c r="Z705" s="129">
        <v>6600</v>
      </c>
      <c r="AA705" s="129"/>
      <c r="AB705" s="129"/>
      <c r="AC705" s="129"/>
      <c r="AD705" s="129">
        <v>0</v>
      </c>
      <c r="AE705" s="129"/>
      <c r="AF705" s="129"/>
      <c r="AG705" s="129"/>
      <c r="AH705" s="129"/>
      <c r="AI705" s="129">
        <v>0</v>
      </c>
      <c r="AJ705" s="129"/>
      <c r="AK705" s="129"/>
    </row>
    <row r="706" spans="3:37" ht="14.85" customHeight="1" x14ac:dyDescent="0.15">
      <c r="C706" s="132">
        <v>44926</v>
      </c>
      <c r="D706" s="132"/>
      <c r="E706" s="132">
        <v>44927</v>
      </c>
      <c r="F706" s="132"/>
      <c r="G706" s="132"/>
      <c r="H706" s="132"/>
      <c r="I706" s="133" t="s">
        <v>621</v>
      </c>
      <c r="J706" s="133"/>
      <c r="K706" s="133"/>
      <c r="L706" s="133"/>
      <c r="M706" s="133"/>
      <c r="N706" s="134" t="s">
        <v>620</v>
      </c>
      <c r="O706" s="134"/>
      <c r="P706" s="134" t="s">
        <v>619</v>
      </c>
      <c r="Q706" s="134"/>
      <c r="R706" s="134"/>
      <c r="S706" s="134"/>
      <c r="T706" s="135">
        <v>1138144055</v>
      </c>
      <c r="U706" s="135"/>
      <c r="V706" s="136" t="s">
        <v>618</v>
      </c>
      <c r="W706" s="136"/>
      <c r="X706" s="129">
        <v>6600</v>
      </c>
      <c r="Y706" s="129"/>
      <c r="Z706" s="129">
        <v>6600</v>
      </c>
      <c r="AA706" s="129"/>
      <c r="AB706" s="129"/>
      <c r="AC706" s="129"/>
      <c r="AD706" s="129">
        <v>0</v>
      </c>
      <c r="AE706" s="129"/>
      <c r="AF706" s="129"/>
      <c r="AG706" s="129"/>
      <c r="AH706" s="129"/>
      <c r="AI706" s="129">
        <v>0</v>
      </c>
      <c r="AJ706" s="129"/>
      <c r="AK706" s="129"/>
    </row>
    <row r="707" spans="3:37" ht="29.65" customHeight="1" x14ac:dyDescent="0.15">
      <c r="V707" s="137" t="s">
        <v>617</v>
      </c>
      <c r="W707" s="137"/>
    </row>
    <row r="708" spans="3:37" ht="14.45" customHeight="1" x14ac:dyDescent="0.15">
      <c r="C708" s="137" t="s">
        <v>616</v>
      </c>
      <c r="D708" s="137"/>
      <c r="E708" s="137"/>
      <c r="F708" s="137"/>
      <c r="G708" s="137"/>
      <c r="H708" s="137"/>
      <c r="I708" s="138">
        <v>679</v>
      </c>
      <c r="J708" s="138"/>
      <c r="K708" s="138"/>
      <c r="L708" s="138"/>
      <c r="M708" s="33" t="s">
        <v>615</v>
      </c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29">
        <v>17292334</v>
      </c>
      <c r="Y708" s="129"/>
      <c r="Z708" s="129">
        <v>16807548</v>
      </c>
      <c r="AA708" s="129"/>
      <c r="AB708" s="129"/>
      <c r="AC708" s="129"/>
      <c r="AD708" s="129">
        <v>484786</v>
      </c>
      <c r="AE708" s="129"/>
      <c r="AF708" s="129"/>
      <c r="AG708" s="129"/>
      <c r="AH708" s="129"/>
      <c r="AI708" s="129">
        <v>0</v>
      </c>
      <c r="AJ708" s="129"/>
      <c r="AK708" s="129"/>
    </row>
    <row r="709" spans="3:37" ht="38.25" customHeight="1" x14ac:dyDescent="0.15">
      <c r="C709" s="130" t="s">
        <v>614</v>
      </c>
      <c r="D709" s="130"/>
      <c r="E709" s="130"/>
      <c r="F709" s="130"/>
      <c r="G709" s="130"/>
      <c r="H709" s="130"/>
      <c r="I709" s="130"/>
      <c r="J709" s="130"/>
      <c r="K709" s="130"/>
      <c r="L709" s="130"/>
      <c r="M709" s="130"/>
      <c r="N709" s="130"/>
      <c r="O709" s="130"/>
      <c r="P709" s="130"/>
      <c r="Q709" s="130"/>
      <c r="R709" s="130"/>
      <c r="S709" s="130"/>
      <c r="T709" s="130"/>
      <c r="U709" s="130"/>
      <c r="V709" s="130"/>
      <c r="W709" s="130"/>
      <c r="X709" s="130"/>
      <c r="Y709" s="130"/>
      <c r="Z709" s="130"/>
      <c r="AA709" s="130"/>
      <c r="AB709" s="130"/>
      <c r="AC709" s="130"/>
      <c r="AD709" s="130"/>
      <c r="AE709" s="130"/>
      <c r="AF709" s="130"/>
      <c r="AG709" s="130"/>
      <c r="AH709" s="130"/>
      <c r="AI709" s="130"/>
      <c r="AJ709" s="130"/>
      <c r="AK709" s="130"/>
    </row>
    <row r="710" spans="3:37" ht="409.6" customHeight="1" x14ac:dyDescent="0.15"/>
    <row r="711" spans="3:37" ht="14.85" customHeight="1" x14ac:dyDescent="0.15">
      <c r="AA711" s="131">
        <v>46015</v>
      </c>
      <c r="AB711" s="131"/>
      <c r="AC711" s="131"/>
      <c r="AD711" s="131"/>
      <c r="AE711" s="131"/>
      <c r="AF711" s="131"/>
      <c r="AG711" s="131"/>
      <c r="AH711" s="131"/>
      <c r="AI711" s="131"/>
    </row>
    <row r="712" spans="3:37" ht="5.65" customHeight="1" x14ac:dyDescent="0.15"/>
    <row r="713" spans="3:37" ht="44.25" customHeight="1" x14ac:dyDescent="0.15">
      <c r="X713" s="126" t="s">
        <v>613</v>
      </c>
      <c r="Y713" s="126"/>
      <c r="Z713" s="126"/>
      <c r="AA713" s="126"/>
      <c r="AB713" s="126"/>
      <c r="AC713" s="126"/>
      <c r="AD713" s="126"/>
      <c r="AE713" s="126"/>
      <c r="AF713" s="128"/>
      <c r="AG713" s="128"/>
      <c r="AH713" s="128"/>
      <c r="AI713" s="128"/>
    </row>
    <row r="714" spans="3:37" ht="36" customHeight="1" x14ac:dyDescent="0.15">
      <c r="R714" s="127" t="s">
        <v>612</v>
      </c>
      <c r="S714" s="127"/>
      <c r="T714" s="127"/>
      <c r="U714" s="127"/>
      <c r="V714" s="127"/>
      <c r="W714" s="127"/>
      <c r="X714" s="127"/>
      <c r="Y714" s="127"/>
      <c r="Z714" s="127"/>
      <c r="AA714" s="127"/>
      <c r="AB714" s="127"/>
      <c r="AC714" s="127"/>
      <c r="AD714" s="127"/>
      <c r="AE714" s="127"/>
      <c r="AF714" s="127"/>
      <c r="AG714" s="127"/>
      <c r="AH714" s="127"/>
      <c r="AI714" s="127"/>
    </row>
    <row r="715" spans="3:37" ht="15.95" customHeight="1" x14ac:dyDescent="0.15">
      <c r="E715" s="128"/>
      <c r="F715" s="128"/>
      <c r="G715" s="128"/>
      <c r="H715" s="128"/>
      <c r="I715" s="128"/>
      <c r="J715" s="128"/>
      <c r="K715" s="128"/>
      <c r="L715" s="128"/>
      <c r="M715" s="128"/>
      <c r="N715" s="128"/>
      <c r="O715" s="128"/>
      <c r="P715" s="128"/>
      <c r="Q715" s="128"/>
      <c r="R715" s="128"/>
      <c r="S715" s="128"/>
      <c r="T715" s="128"/>
      <c r="U715" s="128"/>
      <c r="V715" s="128"/>
      <c r="W715" s="128"/>
      <c r="X715" s="128"/>
      <c r="Y715" s="128"/>
      <c r="Z715" s="128"/>
      <c r="AA715" s="128"/>
      <c r="AB715" s="128"/>
      <c r="AC715" s="128"/>
      <c r="AD715" s="128"/>
    </row>
  </sheetData>
  <mergeCells count="7535">
    <mergeCell ref="A1:AJ1"/>
    <mergeCell ref="B4:E4"/>
    <mergeCell ref="F4:I4"/>
    <mergeCell ref="J4:N4"/>
    <mergeCell ref="B5:E5"/>
    <mergeCell ref="F5:I5"/>
    <mergeCell ref="J5:T5"/>
    <mergeCell ref="B3:E3"/>
    <mergeCell ref="F3:N3"/>
    <mergeCell ref="Y3:AA3"/>
    <mergeCell ref="T11:U11"/>
    <mergeCell ref="AB3:AG3"/>
    <mergeCell ref="G6:AB6"/>
    <mergeCell ref="D8:G8"/>
    <mergeCell ref="H8:P8"/>
    <mergeCell ref="Q8:R8"/>
    <mergeCell ref="S8:V8"/>
    <mergeCell ref="W8:X8"/>
    <mergeCell ref="Y8:AJ8"/>
    <mergeCell ref="C12:D12"/>
    <mergeCell ref="E12:H12"/>
    <mergeCell ref="I12:M12"/>
    <mergeCell ref="N12:O12"/>
    <mergeCell ref="P12:S12"/>
    <mergeCell ref="C11:D11"/>
    <mergeCell ref="E11:H11"/>
    <mergeCell ref="I11:M11"/>
    <mergeCell ref="N11:O11"/>
    <mergeCell ref="P11:S11"/>
    <mergeCell ref="AI12:AK12"/>
    <mergeCell ref="V11:W11"/>
    <mergeCell ref="X11:Y11"/>
    <mergeCell ref="Z11:AC11"/>
    <mergeCell ref="AD11:AH11"/>
    <mergeCell ref="AI11:AK11"/>
    <mergeCell ref="T13:U13"/>
    <mergeCell ref="T12:U12"/>
    <mergeCell ref="V12:W12"/>
    <mergeCell ref="X12:Y12"/>
    <mergeCell ref="Z12:AC12"/>
    <mergeCell ref="AD12:AH12"/>
    <mergeCell ref="C14:D14"/>
    <mergeCell ref="E14:H14"/>
    <mergeCell ref="I14:M14"/>
    <mergeCell ref="N14:O14"/>
    <mergeCell ref="P14:S14"/>
    <mergeCell ref="C13:D13"/>
    <mergeCell ref="E13:H13"/>
    <mergeCell ref="I13:M13"/>
    <mergeCell ref="N13:O13"/>
    <mergeCell ref="P13:S13"/>
    <mergeCell ref="AI14:AK14"/>
    <mergeCell ref="V13:W13"/>
    <mergeCell ref="X13:Y13"/>
    <mergeCell ref="Z13:AC13"/>
    <mergeCell ref="AD13:AH13"/>
    <mergeCell ref="AI13:AK13"/>
    <mergeCell ref="T15:U15"/>
    <mergeCell ref="T14:U14"/>
    <mergeCell ref="V14:W14"/>
    <mergeCell ref="X14:Y14"/>
    <mergeCell ref="Z14:AC14"/>
    <mergeCell ref="AD14:AH14"/>
    <mergeCell ref="C16:D16"/>
    <mergeCell ref="E16:H16"/>
    <mergeCell ref="I16:M16"/>
    <mergeCell ref="N16:O16"/>
    <mergeCell ref="P16:S16"/>
    <mergeCell ref="C15:D15"/>
    <mergeCell ref="E15:H15"/>
    <mergeCell ref="I15:M15"/>
    <mergeCell ref="N15:O15"/>
    <mergeCell ref="P15:S15"/>
    <mergeCell ref="AI16:AK16"/>
    <mergeCell ref="V15:W15"/>
    <mergeCell ref="X15:Y15"/>
    <mergeCell ref="Z15:AC15"/>
    <mergeCell ref="AD15:AH15"/>
    <mergeCell ref="AI15:AK15"/>
    <mergeCell ref="T17:U17"/>
    <mergeCell ref="T16:U16"/>
    <mergeCell ref="V16:W16"/>
    <mergeCell ref="X16:Y16"/>
    <mergeCell ref="Z16:AC16"/>
    <mergeCell ref="AD16:AH16"/>
    <mergeCell ref="C18:D18"/>
    <mergeCell ref="E18:H18"/>
    <mergeCell ref="I18:M18"/>
    <mergeCell ref="N18:O18"/>
    <mergeCell ref="P18:S18"/>
    <mergeCell ref="C17:D17"/>
    <mergeCell ref="E17:H17"/>
    <mergeCell ref="I17:M17"/>
    <mergeCell ref="N17:O17"/>
    <mergeCell ref="P17:S17"/>
    <mergeCell ref="AI18:AK18"/>
    <mergeCell ref="V17:W17"/>
    <mergeCell ref="X17:Y17"/>
    <mergeCell ref="Z17:AC17"/>
    <mergeCell ref="AD17:AH17"/>
    <mergeCell ref="AI17:AK17"/>
    <mergeCell ref="T19:U19"/>
    <mergeCell ref="T18:U18"/>
    <mergeCell ref="V18:W18"/>
    <mergeCell ref="X18:Y18"/>
    <mergeCell ref="Z18:AC18"/>
    <mergeCell ref="AD18:AH18"/>
    <mergeCell ref="C20:D20"/>
    <mergeCell ref="E20:H20"/>
    <mergeCell ref="I20:M20"/>
    <mergeCell ref="N20:O20"/>
    <mergeCell ref="P20:S20"/>
    <mergeCell ref="C19:D19"/>
    <mergeCell ref="E19:H19"/>
    <mergeCell ref="I19:M19"/>
    <mergeCell ref="N19:O19"/>
    <mergeCell ref="P19:S19"/>
    <mergeCell ref="AI20:AK20"/>
    <mergeCell ref="V19:W19"/>
    <mergeCell ref="X19:Y19"/>
    <mergeCell ref="Z19:AC19"/>
    <mergeCell ref="AD19:AH19"/>
    <mergeCell ref="AI19:AK19"/>
    <mergeCell ref="T21:U21"/>
    <mergeCell ref="T20:U20"/>
    <mergeCell ref="V20:W20"/>
    <mergeCell ref="X20:Y20"/>
    <mergeCell ref="Z20:AC20"/>
    <mergeCell ref="AD20:AH20"/>
    <mergeCell ref="C22:D22"/>
    <mergeCell ref="E22:H22"/>
    <mergeCell ref="I22:M22"/>
    <mergeCell ref="N22:O22"/>
    <mergeCell ref="P22:S22"/>
    <mergeCell ref="C21:D21"/>
    <mergeCell ref="E21:H21"/>
    <mergeCell ref="I21:M21"/>
    <mergeCell ref="N21:O21"/>
    <mergeCell ref="P21:S21"/>
    <mergeCell ref="AI22:AK22"/>
    <mergeCell ref="V21:W21"/>
    <mergeCell ref="X21:Y21"/>
    <mergeCell ref="Z21:AC21"/>
    <mergeCell ref="AD21:AH21"/>
    <mergeCell ref="AI21:AK21"/>
    <mergeCell ref="T23:U23"/>
    <mergeCell ref="T22:U22"/>
    <mergeCell ref="V22:W22"/>
    <mergeCell ref="X22:Y22"/>
    <mergeCell ref="Z22:AC22"/>
    <mergeCell ref="AD22:AH22"/>
    <mergeCell ref="C24:D24"/>
    <mergeCell ref="E24:H24"/>
    <mergeCell ref="I24:M24"/>
    <mergeCell ref="N24:O24"/>
    <mergeCell ref="P24:S24"/>
    <mergeCell ref="C23:D23"/>
    <mergeCell ref="E23:H23"/>
    <mergeCell ref="I23:M23"/>
    <mergeCell ref="N23:O23"/>
    <mergeCell ref="P23:S23"/>
    <mergeCell ref="AI24:AK24"/>
    <mergeCell ref="V23:W23"/>
    <mergeCell ref="X23:Y23"/>
    <mergeCell ref="Z23:AC23"/>
    <mergeCell ref="AD23:AH23"/>
    <mergeCell ref="AI23:AK23"/>
    <mergeCell ref="T25:U25"/>
    <mergeCell ref="T24:U24"/>
    <mergeCell ref="V24:W24"/>
    <mergeCell ref="X24:Y24"/>
    <mergeCell ref="Z24:AC24"/>
    <mergeCell ref="AD24:AH24"/>
    <mergeCell ref="C26:D26"/>
    <mergeCell ref="E26:H26"/>
    <mergeCell ref="I26:M26"/>
    <mergeCell ref="N26:O26"/>
    <mergeCell ref="P26:S26"/>
    <mergeCell ref="C25:D25"/>
    <mergeCell ref="E25:H25"/>
    <mergeCell ref="I25:M25"/>
    <mergeCell ref="N25:O25"/>
    <mergeCell ref="P25:S25"/>
    <mergeCell ref="AI26:AK26"/>
    <mergeCell ref="V25:W25"/>
    <mergeCell ref="X25:Y25"/>
    <mergeCell ref="Z25:AC25"/>
    <mergeCell ref="AD25:AH25"/>
    <mergeCell ref="AI25:AK25"/>
    <mergeCell ref="T27:U27"/>
    <mergeCell ref="T26:U26"/>
    <mergeCell ref="V26:W26"/>
    <mergeCell ref="X26:Y26"/>
    <mergeCell ref="Z26:AC26"/>
    <mergeCell ref="AD26:AH26"/>
    <mergeCell ref="C28:D28"/>
    <mergeCell ref="E28:H28"/>
    <mergeCell ref="I28:M28"/>
    <mergeCell ref="N28:O28"/>
    <mergeCell ref="P28:S28"/>
    <mergeCell ref="C27:D27"/>
    <mergeCell ref="E27:H27"/>
    <mergeCell ref="I27:M27"/>
    <mergeCell ref="N27:O27"/>
    <mergeCell ref="P27:S27"/>
    <mergeCell ref="AI28:AK28"/>
    <mergeCell ref="V27:W27"/>
    <mergeCell ref="X27:Y27"/>
    <mergeCell ref="Z27:AC27"/>
    <mergeCell ref="AD27:AH27"/>
    <mergeCell ref="AI27:AK27"/>
    <mergeCell ref="T29:U29"/>
    <mergeCell ref="T28:U28"/>
    <mergeCell ref="V28:W28"/>
    <mergeCell ref="X28:Y28"/>
    <mergeCell ref="Z28:AC28"/>
    <mergeCell ref="AD28:AH28"/>
    <mergeCell ref="C30:D30"/>
    <mergeCell ref="E30:H30"/>
    <mergeCell ref="I30:M30"/>
    <mergeCell ref="N30:O30"/>
    <mergeCell ref="P30:S30"/>
    <mergeCell ref="C29:D29"/>
    <mergeCell ref="E29:H29"/>
    <mergeCell ref="I29:M29"/>
    <mergeCell ref="N29:O29"/>
    <mergeCell ref="P29:S29"/>
    <mergeCell ref="AI30:AK30"/>
    <mergeCell ref="V29:W29"/>
    <mergeCell ref="X29:Y29"/>
    <mergeCell ref="Z29:AC29"/>
    <mergeCell ref="AD29:AH29"/>
    <mergeCell ref="AI29:AK29"/>
    <mergeCell ref="T31:U31"/>
    <mergeCell ref="T30:U30"/>
    <mergeCell ref="V30:W30"/>
    <mergeCell ref="X30:Y30"/>
    <mergeCell ref="Z30:AC30"/>
    <mergeCell ref="AD30:AH30"/>
    <mergeCell ref="C32:D32"/>
    <mergeCell ref="E32:H32"/>
    <mergeCell ref="I32:M32"/>
    <mergeCell ref="N32:O32"/>
    <mergeCell ref="P32:S32"/>
    <mergeCell ref="C31:D31"/>
    <mergeCell ref="E31:H31"/>
    <mergeCell ref="I31:M31"/>
    <mergeCell ref="N31:O31"/>
    <mergeCell ref="P31:S31"/>
    <mergeCell ref="AI32:AK32"/>
    <mergeCell ref="V31:W31"/>
    <mergeCell ref="X31:Y31"/>
    <mergeCell ref="Z31:AC31"/>
    <mergeCell ref="AD31:AH31"/>
    <mergeCell ref="AI31:AK31"/>
    <mergeCell ref="T33:U33"/>
    <mergeCell ref="T32:U32"/>
    <mergeCell ref="V32:W32"/>
    <mergeCell ref="X32:Y32"/>
    <mergeCell ref="Z32:AC32"/>
    <mergeCell ref="AD32:AH32"/>
    <mergeCell ref="C34:D34"/>
    <mergeCell ref="E34:H34"/>
    <mergeCell ref="I34:M34"/>
    <mergeCell ref="N34:O34"/>
    <mergeCell ref="P34:S34"/>
    <mergeCell ref="C33:D33"/>
    <mergeCell ref="E33:H33"/>
    <mergeCell ref="I33:M33"/>
    <mergeCell ref="N33:O33"/>
    <mergeCell ref="P33:S33"/>
    <mergeCell ref="AI34:AK34"/>
    <mergeCell ref="V33:W33"/>
    <mergeCell ref="X33:Y33"/>
    <mergeCell ref="Z33:AC33"/>
    <mergeCell ref="AD33:AH33"/>
    <mergeCell ref="AI33:AK33"/>
    <mergeCell ref="T35:U35"/>
    <mergeCell ref="T34:U34"/>
    <mergeCell ref="V34:W34"/>
    <mergeCell ref="X34:Y34"/>
    <mergeCell ref="Z34:AC34"/>
    <mergeCell ref="AD34:AH34"/>
    <mergeCell ref="C36:D36"/>
    <mergeCell ref="E36:H36"/>
    <mergeCell ref="I36:M36"/>
    <mergeCell ref="N36:O36"/>
    <mergeCell ref="P36:S36"/>
    <mergeCell ref="C35:D35"/>
    <mergeCell ref="E35:H35"/>
    <mergeCell ref="I35:M35"/>
    <mergeCell ref="N35:O35"/>
    <mergeCell ref="P35:S35"/>
    <mergeCell ref="AI36:AK36"/>
    <mergeCell ref="V35:W35"/>
    <mergeCell ref="X35:Y35"/>
    <mergeCell ref="Z35:AC35"/>
    <mergeCell ref="AD35:AH35"/>
    <mergeCell ref="AI35:AK35"/>
    <mergeCell ref="T37:U37"/>
    <mergeCell ref="T36:U36"/>
    <mergeCell ref="V36:W36"/>
    <mergeCell ref="X36:Y36"/>
    <mergeCell ref="Z36:AC36"/>
    <mergeCell ref="AD36:AH36"/>
    <mergeCell ref="C38:D38"/>
    <mergeCell ref="E38:H38"/>
    <mergeCell ref="I38:M38"/>
    <mergeCell ref="N38:O38"/>
    <mergeCell ref="P38:S38"/>
    <mergeCell ref="C37:D37"/>
    <mergeCell ref="E37:H37"/>
    <mergeCell ref="I37:M37"/>
    <mergeCell ref="N37:O37"/>
    <mergeCell ref="P37:S37"/>
    <mergeCell ref="AI38:AK38"/>
    <mergeCell ref="V37:W37"/>
    <mergeCell ref="X37:Y37"/>
    <mergeCell ref="Z37:AC37"/>
    <mergeCell ref="AD37:AH37"/>
    <mergeCell ref="AI37:AK37"/>
    <mergeCell ref="T39:U39"/>
    <mergeCell ref="T38:U38"/>
    <mergeCell ref="V38:W38"/>
    <mergeCell ref="X38:Y38"/>
    <mergeCell ref="Z38:AC38"/>
    <mergeCell ref="AD38:AH38"/>
    <mergeCell ref="C40:D40"/>
    <mergeCell ref="E40:H40"/>
    <mergeCell ref="I40:M40"/>
    <mergeCell ref="N40:O40"/>
    <mergeCell ref="P40:S40"/>
    <mergeCell ref="C39:D39"/>
    <mergeCell ref="E39:H39"/>
    <mergeCell ref="I39:M39"/>
    <mergeCell ref="N39:O39"/>
    <mergeCell ref="P39:S39"/>
    <mergeCell ref="AI40:AK40"/>
    <mergeCell ref="V39:W39"/>
    <mergeCell ref="X39:Y39"/>
    <mergeCell ref="Z39:AC39"/>
    <mergeCell ref="AD39:AH39"/>
    <mergeCell ref="AI39:AK39"/>
    <mergeCell ref="T41:U41"/>
    <mergeCell ref="T40:U40"/>
    <mergeCell ref="V40:W40"/>
    <mergeCell ref="X40:Y40"/>
    <mergeCell ref="Z40:AC40"/>
    <mergeCell ref="AD40:AH40"/>
    <mergeCell ref="C42:D42"/>
    <mergeCell ref="E42:H42"/>
    <mergeCell ref="I42:M42"/>
    <mergeCell ref="N42:O42"/>
    <mergeCell ref="P42:S42"/>
    <mergeCell ref="C41:D41"/>
    <mergeCell ref="E41:H41"/>
    <mergeCell ref="I41:M41"/>
    <mergeCell ref="N41:O41"/>
    <mergeCell ref="P41:S41"/>
    <mergeCell ref="AI42:AK42"/>
    <mergeCell ref="V41:W41"/>
    <mergeCell ref="X41:Y41"/>
    <mergeCell ref="Z41:AC41"/>
    <mergeCell ref="AD41:AH41"/>
    <mergeCell ref="AI41:AK41"/>
    <mergeCell ref="T43:U43"/>
    <mergeCell ref="T42:U42"/>
    <mergeCell ref="V42:W42"/>
    <mergeCell ref="X42:Y42"/>
    <mergeCell ref="Z42:AC42"/>
    <mergeCell ref="AD42:AH42"/>
    <mergeCell ref="C44:D44"/>
    <mergeCell ref="E44:H44"/>
    <mergeCell ref="I44:M44"/>
    <mergeCell ref="N44:O44"/>
    <mergeCell ref="P44:S44"/>
    <mergeCell ref="C43:D43"/>
    <mergeCell ref="E43:H43"/>
    <mergeCell ref="I43:M43"/>
    <mergeCell ref="N43:O43"/>
    <mergeCell ref="P43:S43"/>
    <mergeCell ref="AI44:AK44"/>
    <mergeCell ref="V43:W43"/>
    <mergeCell ref="X43:Y43"/>
    <mergeCell ref="Z43:AC43"/>
    <mergeCell ref="AD43:AH43"/>
    <mergeCell ref="AI43:AK43"/>
    <mergeCell ref="T45:U45"/>
    <mergeCell ref="T44:U44"/>
    <mergeCell ref="V44:W44"/>
    <mergeCell ref="X44:Y44"/>
    <mergeCell ref="Z44:AC44"/>
    <mergeCell ref="AD44:AH44"/>
    <mergeCell ref="C46:D46"/>
    <mergeCell ref="E46:H46"/>
    <mergeCell ref="I46:M46"/>
    <mergeCell ref="N46:O46"/>
    <mergeCell ref="P46:S46"/>
    <mergeCell ref="C45:D45"/>
    <mergeCell ref="E45:H45"/>
    <mergeCell ref="I45:M45"/>
    <mergeCell ref="N45:O45"/>
    <mergeCell ref="P45:S45"/>
    <mergeCell ref="AI46:AK46"/>
    <mergeCell ref="V45:W45"/>
    <mergeCell ref="X45:Y45"/>
    <mergeCell ref="Z45:AC45"/>
    <mergeCell ref="AD45:AH45"/>
    <mergeCell ref="AI45:AK45"/>
    <mergeCell ref="T47:U47"/>
    <mergeCell ref="T46:U46"/>
    <mergeCell ref="V46:W46"/>
    <mergeCell ref="X46:Y46"/>
    <mergeCell ref="Z46:AC46"/>
    <mergeCell ref="AD46:AH46"/>
    <mergeCell ref="V49:W49"/>
    <mergeCell ref="X49:Y49"/>
    <mergeCell ref="Z49:AC49"/>
    <mergeCell ref="AD49:AH49"/>
    <mergeCell ref="AI49:AK49"/>
    <mergeCell ref="C48:D48"/>
    <mergeCell ref="E48:H48"/>
    <mergeCell ref="I48:M48"/>
    <mergeCell ref="N48:O48"/>
    <mergeCell ref="P48:S48"/>
    <mergeCell ref="C47:D47"/>
    <mergeCell ref="E47:H47"/>
    <mergeCell ref="I47:M47"/>
    <mergeCell ref="N47:O47"/>
    <mergeCell ref="P47:S47"/>
    <mergeCell ref="AI48:AK48"/>
    <mergeCell ref="V47:W47"/>
    <mergeCell ref="X47:Y47"/>
    <mergeCell ref="Z47:AC47"/>
    <mergeCell ref="AD47:AH47"/>
    <mergeCell ref="AI47:AK47"/>
    <mergeCell ref="T49:U49"/>
    <mergeCell ref="T48:U48"/>
    <mergeCell ref="V48:W48"/>
    <mergeCell ref="X48:Y48"/>
    <mergeCell ref="Z48:AC48"/>
    <mergeCell ref="AD48:AH48"/>
    <mergeCell ref="E51:H51"/>
    <mergeCell ref="I51:M51"/>
    <mergeCell ref="N51:O51"/>
    <mergeCell ref="P51:S51"/>
    <mergeCell ref="T51:U51"/>
    <mergeCell ref="T50:U50"/>
    <mergeCell ref="V51:W51"/>
    <mergeCell ref="X51:Y51"/>
    <mergeCell ref="Z51:AC51"/>
    <mergeCell ref="AD51:AH51"/>
    <mergeCell ref="AI51:AK51"/>
    <mergeCell ref="D10:E10"/>
    <mergeCell ref="F10:J10"/>
    <mergeCell ref="L10:P10"/>
    <mergeCell ref="Q10:S10"/>
    <mergeCell ref="C51:D51"/>
    <mergeCell ref="V52:W52"/>
    <mergeCell ref="C50:D50"/>
    <mergeCell ref="E50:H50"/>
    <mergeCell ref="I50:M50"/>
    <mergeCell ref="N50:O50"/>
    <mergeCell ref="P50:S50"/>
    <mergeCell ref="C49:D49"/>
    <mergeCell ref="E49:H49"/>
    <mergeCell ref="I49:M49"/>
    <mergeCell ref="N49:O49"/>
    <mergeCell ref="P49:S49"/>
    <mergeCell ref="V50:W50"/>
    <mergeCell ref="X50:Y50"/>
    <mergeCell ref="Z50:AC50"/>
    <mergeCell ref="AD50:AH50"/>
    <mergeCell ref="AI50:AK50"/>
    <mergeCell ref="C53:D53"/>
    <mergeCell ref="E53:H53"/>
    <mergeCell ref="I53:M53"/>
    <mergeCell ref="N53:O53"/>
    <mergeCell ref="P53:S53"/>
    <mergeCell ref="T53:U53"/>
    <mergeCell ref="V53:W53"/>
    <mergeCell ref="X53:Y53"/>
    <mergeCell ref="Z53:AC53"/>
    <mergeCell ref="AD53:AH53"/>
    <mergeCell ref="AI53:AK53"/>
    <mergeCell ref="C54:D54"/>
    <mergeCell ref="E54:H54"/>
    <mergeCell ref="I54:M54"/>
    <mergeCell ref="N54:O54"/>
    <mergeCell ref="P54:S54"/>
    <mergeCell ref="T54:U54"/>
    <mergeCell ref="V54:W54"/>
    <mergeCell ref="X54:Y54"/>
    <mergeCell ref="Z54:AC54"/>
    <mergeCell ref="AD54:AH54"/>
    <mergeCell ref="AI54:AK54"/>
    <mergeCell ref="C55:D55"/>
    <mergeCell ref="E55:H55"/>
    <mergeCell ref="I55:M55"/>
    <mergeCell ref="N55:O55"/>
    <mergeCell ref="P55:S55"/>
    <mergeCell ref="T55:U55"/>
    <mergeCell ref="V55:W55"/>
    <mergeCell ref="X55:Y55"/>
    <mergeCell ref="Z55:AC55"/>
    <mergeCell ref="AD55:AH55"/>
    <mergeCell ref="AI55:AK55"/>
    <mergeCell ref="C56:D56"/>
    <mergeCell ref="E56:H56"/>
    <mergeCell ref="I56:M56"/>
    <mergeCell ref="N56:O56"/>
    <mergeCell ref="P56:S56"/>
    <mergeCell ref="T56:U56"/>
    <mergeCell ref="V56:W56"/>
    <mergeCell ref="X56:Y56"/>
    <mergeCell ref="Z56:AC56"/>
    <mergeCell ref="AD56:AH56"/>
    <mergeCell ref="AI56:AK56"/>
    <mergeCell ref="C57:D57"/>
    <mergeCell ref="E57:H57"/>
    <mergeCell ref="I57:M57"/>
    <mergeCell ref="N57:O57"/>
    <mergeCell ref="P57:S57"/>
    <mergeCell ref="T57:U57"/>
    <mergeCell ref="V57:W57"/>
    <mergeCell ref="X57:Y57"/>
    <mergeCell ref="Z57:AC57"/>
    <mergeCell ref="AD57:AH57"/>
    <mergeCell ref="AI57:AK57"/>
    <mergeCell ref="C58:D58"/>
    <mergeCell ref="E58:H58"/>
    <mergeCell ref="I58:M58"/>
    <mergeCell ref="N58:O58"/>
    <mergeCell ref="P58:S58"/>
    <mergeCell ref="T58:U58"/>
    <mergeCell ref="V58:W58"/>
    <mergeCell ref="X58:Y58"/>
    <mergeCell ref="Z58:AC58"/>
    <mergeCell ref="AD58:AH58"/>
    <mergeCell ref="AI58:AK58"/>
    <mergeCell ref="C59:D59"/>
    <mergeCell ref="E59:H59"/>
    <mergeCell ref="I59:M59"/>
    <mergeCell ref="N59:O59"/>
    <mergeCell ref="P59:S59"/>
    <mergeCell ref="T59:U59"/>
    <mergeCell ref="V59:W59"/>
    <mergeCell ref="X59:Y59"/>
    <mergeCell ref="Z59:AC59"/>
    <mergeCell ref="AD59:AH59"/>
    <mergeCell ref="AI59:AK59"/>
    <mergeCell ref="C60:D60"/>
    <mergeCell ref="E60:H60"/>
    <mergeCell ref="I60:M60"/>
    <mergeCell ref="N60:O60"/>
    <mergeCell ref="P60:S60"/>
    <mergeCell ref="T60:U60"/>
    <mergeCell ref="V60:W60"/>
    <mergeCell ref="X60:Y60"/>
    <mergeCell ref="Z60:AC60"/>
    <mergeCell ref="AD60:AH60"/>
    <mergeCell ref="AI60:AK60"/>
    <mergeCell ref="C61:D61"/>
    <mergeCell ref="E61:H61"/>
    <mergeCell ref="I61:M61"/>
    <mergeCell ref="N61:O61"/>
    <mergeCell ref="P61:S61"/>
    <mergeCell ref="T61:U61"/>
    <mergeCell ref="V61:W61"/>
    <mergeCell ref="X61:Y61"/>
    <mergeCell ref="Z61:AC61"/>
    <mergeCell ref="AD61:AH61"/>
    <mergeCell ref="AI61:AK61"/>
    <mergeCell ref="C62:D62"/>
    <mergeCell ref="E62:H62"/>
    <mergeCell ref="I62:M62"/>
    <mergeCell ref="N62:O62"/>
    <mergeCell ref="P62:S62"/>
    <mergeCell ref="T62:U62"/>
    <mergeCell ref="V62:W62"/>
    <mergeCell ref="X62:Y62"/>
    <mergeCell ref="Z62:AC62"/>
    <mergeCell ref="AD62:AH62"/>
    <mergeCell ref="AI62:AK62"/>
    <mergeCell ref="C63:D63"/>
    <mergeCell ref="E63:H63"/>
    <mergeCell ref="I63:M63"/>
    <mergeCell ref="N63:O63"/>
    <mergeCell ref="P63:S63"/>
    <mergeCell ref="T63:U63"/>
    <mergeCell ref="V63:W63"/>
    <mergeCell ref="X63:Y63"/>
    <mergeCell ref="Z63:AC63"/>
    <mergeCell ref="AD63:AH63"/>
    <mergeCell ref="AI63:AK63"/>
    <mergeCell ref="C64:D64"/>
    <mergeCell ref="E64:H64"/>
    <mergeCell ref="I64:M64"/>
    <mergeCell ref="N64:O64"/>
    <mergeCell ref="P64:S64"/>
    <mergeCell ref="T64:U64"/>
    <mergeCell ref="V64:W64"/>
    <mergeCell ref="X64:Y64"/>
    <mergeCell ref="Z64:AC64"/>
    <mergeCell ref="AD64:AH64"/>
    <mergeCell ref="AI64:AK64"/>
    <mergeCell ref="C65:D65"/>
    <mergeCell ref="E65:H65"/>
    <mergeCell ref="I65:M65"/>
    <mergeCell ref="N65:O65"/>
    <mergeCell ref="P65:S65"/>
    <mergeCell ref="T65:U65"/>
    <mergeCell ref="V65:W65"/>
    <mergeCell ref="X65:Y65"/>
    <mergeCell ref="Z65:AC65"/>
    <mergeCell ref="AD65:AH65"/>
    <mergeCell ref="AI65:AK65"/>
    <mergeCell ref="C66:D66"/>
    <mergeCell ref="E66:H66"/>
    <mergeCell ref="I66:M66"/>
    <mergeCell ref="N66:O66"/>
    <mergeCell ref="P66:S66"/>
    <mergeCell ref="T66:U66"/>
    <mergeCell ref="V66:W66"/>
    <mergeCell ref="X66:Y66"/>
    <mergeCell ref="Z66:AC66"/>
    <mergeCell ref="AD66:AH66"/>
    <mergeCell ref="AI66:AK66"/>
    <mergeCell ref="C67:D67"/>
    <mergeCell ref="E67:H67"/>
    <mergeCell ref="I67:M67"/>
    <mergeCell ref="N67:O67"/>
    <mergeCell ref="P67:S67"/>
    <mergeCell ref="T67:U67"/>
    <mergeCell ref="V67:W67"/>
    <mergeCell ref="X67:Y67"/>
    <mergeCell ref="Z67:AC67"/>
    <mergeCell ref="AD67:AH67"/>
    <mergeCell ref="AI67:AK67"/>
    <mergeCell ref="C68:D68"/>
    <mergeCell ref="E68:H68"/>
    <mergeCell ref="I68:M68"/>
    <mergeCell ref="N68:O68"/>
    <mergeCell ref="P68:S68"/>
    <mergeCell ref="T68:U68"/>
    <mergeCell ref="V68:W68"/>
    <mergeCell ref="X68:Y68"/>
    <mergeCell ref="Z68:AC68"/>
    <mergeCell ref="AD68:AH68"/>
    <mergeCell ref="AI68:AK68"/>
    <mergeCell ref="C69:D69"/>
    <mergeCell ref="E69:H69"/>
    <mergeCell ref="I69:M69"/>
    <mergeCell ref="N69:O69"/>
    <mergeCell ref="P69:S69"/>
    <mergeCell ref="T69:U69"/>
    <mergeCell ref="V69:W69"/>
    <mergeCell ref="X69:Y69"/>
    <mergeCell ref="Z69:AC69"/>
    <mergeCell ref="AD69:AH69"/>
    <mergeCell ref="AI69:AK69"/>
    <mergeCell ref="C70:D70"/>
    <mergeCell ref="E70:H70"/>
    <mergeCell ref="I70:M70"/>
    <mergeCell ref="N70:O70"/>
    <mergeCell ref="P70:S70"/>
    <mergeCell ref="T70:U70"/>
    <mergeCell ref="V70:W70"/>
    <mergeCell ref="X70:Y70"/>
    <mergeCell ref="Z70:AC70"/>
    <mergeCell ref="AD70:AH70"/>
    <mergeCell ref="AI70:AK70"/>
    <mergeCell ref="C71:D71"/>
    <mergeCell ref="E71:H71"/>
    <mergeCell ref="I71:M71"/>
    <mergeCell ref="N71:O71"/>
    <mergeCell ref="P71:S71"/>
    <mergeCell ref="T71:U71"/>
    <mergeCell ref="V71:W71"/>
    <mergeCell ref="X71:Y71"/>
    <mergeCell ref="Z71:AC71"/>
    <mergeCell ref="AD71:AH71"/>
    <mergeCell ref="AI71:AK71"/>
    <mergeCell ref="C72:D72"/>
    <mergeCell ref="E72:H72"/>
    <mergeCell ref="I72:M72"/>
    <mergeCell ref="N72:O72"/>
    <mergeCell ref="P72:S72"/>
    <mergeCell ref="T72:U72"/>
    <mergeCell ref="V72:W72"/>
    <mergeCell ref="X72:Y72"/>
    <mergeCell ref="Z72:AC72"/>
    <mergeCell ref="AD72:AH72"/>
    <mergeCell ref="AI72:AK72"/>
    <mergeCell ref="C73:D73"/>
    <mergeCell ref="E73:H73"/>
    <mergeCell ref="I73:M73"/>
    <mergeCell ref="N73:O73"/>
    <mergeCell ref="P73:S73"/>
    <mergeCell ref="T73:U73"/>
    <mergeCell ref="V73:W73"/>
    <mergeCell ref="X73:Y73"/>
    <mergeCell ref="Z73:AC73"/>
    <mergeCell ref="AD73:AH73"/>
    <mergeCell ref="AI73:AK73"/>
    <mergeCell ref="C74:D74"/>
    <mergeCell ref="E74:H74"/>
    <mergeCell ref="I74:M74"/>
    <mergeCell ref="N74:O74"/>
    <mergeCell ref="P74:S74"/>
    <mergeCell ref="T74:U74"/>
    <mergeCell ref="V74:W74"/>
    <mergeCell ref="X74:Y74"/>
    <mergeCell ref="Z74:AC74"/>
    <mergeCell ref="AD74:AH74"/>
    <mergeCell ref="AI74:AK74"/>
    <mergeCell ref="C75:D75"/>
    <mergeCell ref="E75:H75"/>
    <mergeCell ref="I75:M75"/>
    <mergeCell ref="N75:O75"/>
    <mergeCell ref="P75:S75"/>
    <mergeCell ref="T75:U75"/>
    <mergeCell ref="V75:W75"/>
    <mergeCell ref="X75:Y75"/>
    <mergeCell ref="Z75:AC75"/>
    <mergeCell ref="AD75:AH75"/>
    <mergeCell ref="AI75:AK75"/>
    <mergeCell ref="C76:D76"/>
    <mergeCell ref="E76:H76"/>
    <mergeCell ref="I76:M76"/>
    <mergeCell ref="N76:O76"/>
    <mergeCell ref="P76:S76"/>
    <mergeCell ref="T76:U76"/>
    <mergeCell ref="V76:W76"/>
    <mergeCell ref="X76:Y76"/>
    <mergeCell ref="Z76:AC76"/>
    <mergeCell ref="AD76:AH76"/>
    <mergeCell ref="AI76:AK76"/>
    <mergeCell ref="C77:D77"/>
    <mergeCell ref="E77:H77"/>
    <mergeCell ref="I77:M77"/>
    <mergeCell ref="N77:O77"/>
    <mergeCell ref="P77:S77"/>
    <mergeCell ref="T77:U77"/>
    <mergeCell ref="V77:W77"/>
    <mergeCell ref="X77:Y77"/>
    <mergeCell ref="Z77:AC77"/>
    <mergeCell ref="AD77:AH77"/>
    <mergeCell ref="AI77:AK77"/>
    <mergeCell ref="C78:D78"/>
    <mergeCell ref="E78:H78"/>
    <mergeCell ref="I78:M78"/>
    <mergeCell ref="N78:O78"/>
    <mergeCell ref="P78:S78"/>
    <mergeCell ref="T78:U78"/>
    <mergeCell ref="V78:W78"/>
    <mergeCell ref="X78:Y78"/>
    <mergeCell ref="Z78:AC78"/>
    <mergeCell ref="AD78:AH78"/>
    <mergeCell ref="AI78:AK78"/>
    <mergeCell ref="C79:D79"/>
    <mergeCell ref="E79:H79"/>
    <mergeCell ref="I79:M79"/>
    <mergeCell ref="N79:O79"/>
    <mergeCell ref="P79:S79"/>
    <mergeCell ref="T79:U79"/>
    <mergeCell ref="V79:W79"/>
    <mergeCell ref="X79:Y79"/>
    <mergeCell ref="Z79:AC79"/>
    <mergeCell ref="AD79:AH79"/>
    <mergeCell ref="AI79:AK79"/>
    <mergeCell ref="C80:D80"/>
    <mergeCell ref="E80:H80"/>
    <mergeCell ref="I80:M80"/>
    <mergeCell ref="N80:O80"/>
    <mergeCell ref="P80:S80"/>
    <mergeCell ref="T80:U80"/>
    <mergeCell ref="V80:W80"/>
    <mergeCell ref="X80:Y80"/>
    <mergeCell ref="Z80:AC80"/>
    <mergeCell ref="AD80:AH80"/>
    <mergeCell ref="AI80:AK80"/>
    <mergeCell ref="C81:D81"/>
    <mergeCell ref="E81:H81"/>
    <mergeCell ref="I81:M81"/>
    <mergeCell ref="N81:O81"/>
    <mergeCell ref="P81:S81"/>
    <mergeCell ref="T81:U81"/>
    <mergeCell ref="V81:W81"/>
    <mergeCell ref="X81:Y81"/>
    <mergeCell ref="Z81:AC81"/>
    <mergeCell ref="AD81:AH81"/>
    <mergeCell ref="AI81:AK81"/>
    <mergeCell ref="C82:D82"/>
    <mergeCell ref="E82:H82"/>
    <mergeCell ref="I82:M82"/>
    <mergeCell ref="N82:O82"/>
    <mergeCell ref="P82:S82"/>
    <mergeCell ref="T82:U82"/>
    <mergeCell ref="V82:W82"/>
    <mergeCell ref="X82:Y82"/>
    <mergeCell ref="Z82:AC82"/>
    <mergeCell ref="AD82:AH82"/>
    <mergeCell ref="AI82:AK82"/>
    <mergeCell ref="C83:D83"/>
    <mergeCell ref="E83:H83"/>
    <mergeCell ref="I83:M83"/>
    <mergeCell ref="N83:O83"/>
    <mergeCell ref="P83:S83"/>
    <mergeCell ref="T83:U83"/>
    <mergeCell ref="V83:W83"/>
    <mergeCell ref="X83:Y83"/>
    <mergeCell ref="Z83:AC83"/>
    <mergeCell ref="AD83:AH83"/>
    <mergeCell ref="AI83:AK83"/>
    <mergeCell ref="C84:D84"/>
    <mergeCell ref="E84:H84"/>
    <mergeCell ref="I84:M84"/>
    <mergeCell ref="N84:O84"/>
    <mergeCell ref="P84:S84"/>
    <mergeCell ref="T84:U84"/>
    <mergeCell ref="V84:W84"/>
    <mergeCell ref="X84:Y84"/>
    <mergeCell ref="Z84:AC84"/>
    <mergeCell ref="AD84:AH84"/>
    <mergeCell ref="AI84:AK84"/>
    <mergeCell ref="C85:D85"/>
    <mergeCell ref="E85:H85"/>
    <mergeCell ref="I85:M85"/>
    <mergeCell ref="N85:O85"/>
    <mergeCell ref="P85:S85"/>
    <mergeCell ref="T85:U85"/>
    <mergeCell ref="V85:W85"/>
    <mergeCell ref="X85:Y85"/>
    <mergeCell ref="Z85:AC85"/>
    <mergeCell ref="AD85:AH85"/>
    <mergeCell ref="AI85:AK85"/>
    <mergeCell ref="C86:D86"/>
    <mergeCell ref="E86:H86"/>
    <mergeCell ref="I86:M86"/>
    <mergeCell ref="N86:O86"/>
    <mergeCell ref="P86:S86"/>
    <mergeCell ref="T86:U86"/>
    <mergeCell ref="V86:W86"/>
    <mergeCell ref="X86:Y86"/>
    <mergeCell ref="Z86:AC86"/>
    <mergeCell ref="AD86:AH86"/>
    <mergeCell ref="AI86:AK86"/>
    <mergeCell ref="C87:D87"/>
    <mergeCell ref="E87:H87"/>
    <mergeCell ref="I87:M87"/>
    <mergeCell ref="N87:O87"/>
    <mergeCell ref="P87:S87"/>
    <mergeCell ref="T87:U87"/>
    <mergeCell ref="V87:W87"/>
    <mergeCell ref="X87:Y87"/>
    <mergeCell ref="Z87:AC87"/>
    <mergeCell ref="AD87:AH87"/>
    <mergeCell ref="AI87:AK87"/>
    <mergeCell ref="C88:D88"/>
    <mergeCell ref="E88:H88"/>
    <mergeCell ref="I88:M88"/>
    <mergeCell ref="N88:O88"/>
    <mergeCell ref="P88:S88"/>
    <mergeCell ref="T88:U88"/>
    <mergeCell ref="V88:W88"/>
    <mergeCell ref="X88:Y88"/>
    <mergeCell ref="Z88:AC88"/>
    <mergeCell ref="AD88:AH88"/>
    <mergeCell ref="AI88:AK88"/>
    <mergeCell ref="C89:D89"/>
    <mergeCell ref="E89:H89"/>
    <mergeCell ref="I89:M89"/>
    <mergeCell ref="N89:O89"/>
    <mergeCell ref="P89:S89"/>
    <mergeCell ref="T89:U89"/>
    <mergeCell ref="V89:W89"/>
    <mergeCell ref="X89:Y89"/>
    <mergeCell ref="Z89:AC89"/>
    <mergeCell ref="AD89:AH89"/>
    <mergeCell ref="AI89:AK89"/>
    <mergeCell ref="C90:D90"/>
    <mergeCell ref="E90:H90"/>
    <mergeCell ref="I90:M90"/>
    <mergeCell ref="N90:O90"/>
    <mergeCell ref="P90:S90"/>
    <mergeCell ref="T90:U90"/>
    <mergeCell ref="V90:W90"/>
    <mergeCell ref="X90:Y90"/>
    <mergeCell ref="Z90:AC90"/>
    <mergeCell ref="AD90:AH90"/>
    <mergeCell ref="AI90:AK90"/>
    <mergeCell ref="C91:D91"/>
    <mergeCell ref="E91:H91"/>
    <mergeCell ref="I91:M91"/>
    <mergeCell ref="N91:O91"/>
    <mergeCell ref="P91:S91"/>
    <mergeCell ref="T91:U91"/>
    <mergeCell ref="V91:W91"/>
    <mergeCell ref="X91:Y91"/>
    <mergeCell ref="Z91:AC91"/>
    <mergeCell ref="AD91:AH91"/>
    <mergeCell ref="AI91:AK91"/>
    <mergeCell ref="C92:D92"/>
    <mergeCell ref="E92:H92"/>
    <mergeCell ref="I92:M92"/>
    <mergeCell ref="N92:O92"/>
    <mergeCell ref="P92:S92"/>
    <mergeCell ref="T92:U92"/>
    <mergeCell ref="V92:W92"/>
    <mergeCell ref="X92:Y92"/>
    <mergeCell ref="Z92:AC92"/>
    <mergeCell ref="AD92:AH92"/>
    <mergeCell ref="AI92:AK92"/>
    <mergeCell ref="V93:W93"/>
    <mergeCell ref="C94:D94"/>
    <mergeCell ref="E94:H94"/>
    <mergeCell ref="I94:M94"/>
    <mergeCell ref="N94:O94"/>
    <mergeCell ref="P94:S94"/>
    <mergeCell ref="T94:U94"/>
    <mergeCell ref="V94:W94"/>
    <mergeCell ref="X94:Y94"/>
    <mergeCell ref="Z94:AC94"/>
    <mergeCell ref="AD94:AH94"/>
    <mergeCell ref="AI94:AK94"/>
    <mergeCell ref="C95:D95"/>
    <mergeCell ref="E95:H95"/>
    <mergeCell ref="I95:M95"/>
    <mergeCell ref="N95:O95"/>
    <mergeCell ref="P95:S95"/>
    <mergeCell ref="T95:U95"/>
    <mergeCell ref="V95:W95"/>
    <mergeCell ref="X95:Y95"/>
    <mergeCell ref="Z95:AC95"/>
    <mergeCell ref="AD95:AH95"/>
    <mergeCell ref="AI95:AK95"/>
    <mergeCell ref="C96:D96"/>
    <mergeCell ref="E96:H96"/>
    <mergeCell ref="I96:M96"/>
    <mergeCell ref="N96:O96"/>
    <mergeCell ref="P96:S96"/>
    <mergeCell ref="T96:U96"/>
    <mergeCell ref="V96:W96"/>
    <mergeCell ref="X96:Y96"/>
    <mergeCell ref="Z96:AC96"/>
    <mergeCell ref="AD96:AH96"/>
    <mergeCell ref="AI96:AK96"/>
    <mergeCell ref="C97:D97"/>
    <mergeCell ref="E97:H97"/>
    <mergeCell ref="I97:M97"/>
    <mergeCell ref="N97:O97"/>
    <mergeCell ref="P97:S97"/>
    <mergeCell ref="T97:U97"/>
    <mergeCell ref="V97:W97"/>
    <mergeCell ref="X97:Y97"/>
    <mergeCell ref="Z97:AC97"/>
    <mergeCell ref="AD97:AH97"/>
    <mergeCell ref="AI97:AK97"/>
    <mergeCell ref="C98:D98"/>
    <mergeCell ref="E98:H98"/>
    <mergeCell ref="I98:M98"/>
    <mergeCell ref="N98:O98"/>
    <mergeCell ref="P98:S98"/>
    <mergeCell ref="T98:U98"/>
    <mergeCell ref="V98:W98"/>
    <mergeCell ref="X98:Y98"/>
    <mergeCell ref="Z98:AC98"/>
    <mergeCell ref="AD98:AH98"/>
    <mergeCell ref="AI98:AK98"/>
    <mergeCell ref="C99:D99"/>
    <mergeCell ref="E99:H99"/>
    <mergeCell ref="I99:M99"/>
    <mergeCell ref="N99:O99"/>
    <mergeCell ref="P99:S99"/>
    <mergeCell ref="T99:U99"/>
    <mergeCell ref="V99:W99"/>
    <mergeCell ref="X99:Y99"/>
    <mergeCell ref="Z99:AC99"/>
    <mergeCell ref="AD99:AH99"/>
    <mergeCell ref="AI99:AK99"/>
    <mergeCell ref="C100:D100"/>
    <mergeCell ref="E100:H100"/>
    <mergeCell ref="I100:M100"/>
    <mergeCell ref="N100:O100"/>
    <mergeCell ref="P100:S100"/>
    <mergeCell ref="T100:U100"/>
    <mergeCell ref="V100:W100"/>
    <mergeCell ref="X100:Y100"/>
    <mergeCell ref="Z100:AC100"/>
    <mergeCell ref="AD100:AH100"/>
    <mergeCell ref="AI100:AK100"/>
    <mergeCell ref="C101:D101"/>
    <mergeCell ref="E101:H101"/>
    <mergeCell ref="I101:M101"/>
    <mergeCell ref="N101:O101"/>
    <mergeCell ref="P101:S101"/>
    <mergeCell ref="T101:U101"/>
    <mergeCell ref="V101:W101"/>
    <mergeCell ref="X101:Y101"/>
    <mergeCell ref="Z101:AC101"/>
    <mergeCell ref="AD101:AH101"/>
    <mergeCell ref="AI101:AK101"/>
    <mergeCell ref="C102:D102"/>
    <mergeCell ref="E102:H102"/>
    <mergeCell ref="I102:M102"/>
    <mergeCell ref="N102:O102"/>
    <mergeCell ref="P102:S102"/>
    <mergeCell ref="T102:U102"/>
    <mergeCell ref="V102:W102"/>
    <mergeCell ref="X102:Y102"/>
    <mergeCell ref="Z102:AC102"/>
    <mergeCell ref="AD102:AH102"/>
    <mergeCell ref="AI102:AK102"/>
    <mergeCell ref="C103:D103"/>
    <mergeCell ref="E103:H103"/>
    <mergeCell ref="I103:M103"/>
    <mergeCell ref="N103:O103"/>
    <mergeCell ref="P103:S103"/>
    <mergeCell ref="T103:U103"/>
    <mergeCell ref="V103:W103"/>
    <mergeCell ref="X103:Y103"/>
    <mergeCell ref="Z103:AC103"/>
    <mergeCell ref="AD103:AH103"/>
    <mergeCell ref="AI103:AK103"/>
    <mergeCell ref="C104:D104"/>
    <mergeCell ref="E104:H104"/>
    <mergeCell ref="I104:M104"/>
    <mergeCell ref="N104:O104"/>
    <mergeCell ref="P104:S104"/>
    <mergeCell ref="T104:U104"/>
    <mergeCell ref="V104:W104"/>
    <mergeCell ref="X104:Y104"/>
    <mergeCell ref="Z104:AC104"/>
    <mergeCell ref="AD104:AH104"/>
    <mergeCell ref="AI104:AK104"/>
    <mergeCell ref="C105:D105"/>
    <mergeCell ref="E105:H105"/>
    <mergeCell ref="I105:M105"/>
    <mergeCell ref="N105:O105"/>
    <mergeCell ref="P105:S105"/>
    <mergeCell ref="T105:U105"/>
    <mergeCell ref="V105:W105"/>
    <mergeCell ref="X105:Y105"/>
    <mergeCell ref="Z105:AC105"/>
    <mergeCell ref="AD105:AH105"/>
    <mergeCell ref="AI105:AK105"/>
    <mergeCell ref="C106:D106"/>
    <mergeCell ref="E106:H106"/>
    <mergeCell ref="I106:M106"/>
    <mergeCell ref="N106:O106"/>
    <mergeCell ref="P106:S106"/>
    <mergeCell ref="T106:U106"/>
    <mergeCell ref="V106:W106"/>
    <mergeCell ref="X106:Y106"/>
    <mergeCell ref="Z106:AC106"/>
    <mergeCell ref="AD106:AH106"/>
    <mergeCell ref="AI106:AK106"/>
    <mergeCell ref="C107:D107"/>
    <mergeCell ref="E107:H107"/>
    <mergeCell ref="I107:M107"/>
    <mergeCell ref="N107:O107"/>
    <mergeCell ref="P107:S107"/>
    <mergeCell ref="T107:U107"/>
    <mergeCell ref="V107:W107"/>
    <mergeCell ref="X107:Y107"/>
    <mergeCell ref="Z107:AC107"/>
    <mergeCell ref="AD107:AH107"/>
    <mergeCell ref="AI107:AK107"/>
    <mergeCell ref="C108:D108"/>
    <mergeCell ref="E108:H108"/>
    <mergeCell ref="I108:M108"/>
    <mergeCell ref="N108:O108"/>
    <mergeCell ref="P108:S108"/>
    <mergeCell ref="T108:U108"/>
    <mergeCell ref="V108:W108"/>
    <mergeCell ref="X108:Y108"/>
    <mergeCell ref="Z108:AC108"/>
    <mergeCell ref="AD108:AH108"/>
    <mergeCell ref="AI108:AK108"/>
    <mergeCell ref="C109:D109"/>
    <mergeCell ref="E109:H109"/>
    <mergeCell ref="I109:M109"/>
    <mergeCell ref="N109:O109"/>
    <mergeCell ref="P109:S109"/>
    <mergeCell ref="T109:U109"/>
    <mergeCell ref="V109:W109"/>
    <mergeCell ref="X109:Y109"/>
    <mergeCell ref="Z109:AC109"/>
    <mergeCell ref="AD109:AH109"/>
    <mergeCell ref="AI109:AK109"/>
    <mergeCell ref="C110:D110"/>
    <mergeCell ref="E110:H110"/>
    <mergeCell ref="I110:M110"/>
    <mergeCell ref="N110:O110"/>
    <mergeCell ref="P110:S110"/>
    <mergeCell ref="T110:U110"/>
    <mergeCell ref="V110:W110"/>
    <mergeCell ref="X110:Y110"/>
    <mergeCell ref="Z110:AC110"/>
    <mergeCell ref="AD110:AH110"/>
    <mergeCell ref="AI110:AK110"/>
    <mergeCell ref="C111:D111"/>
    <mergeCell ref="E111:H111"/>
    <mergeCell ref="I111:M111"/>
    <mergeCell ref="N111:O111"/>
    <mergeCell ref="P111:S111"/>
    <mergeCell ref="T111:U111"/>
    <mergeCell ref="V111:W111"/>
    <mergeCell ref="X111:Y111"/>
    <mergeCell ref="Z111:AC111"/>
    <mergeCell ref="AD111:AH111"/>
    <mergeCell ref="AI111:AK111"/>
    <mergeCell ref="C112:D112"/>
    <mergeCell ref="E112:H112"/>
    <mergeCell ref="I112:M112"/>
    <mergeCell ref="N112:O112"/>
    <mergeCell ref="P112:S112"/>
    <mergeCell ref="T112:U112"/>
    <mergeCell ref="V112:W112"/>
    <mergeCell ref="X112:Y112"/>
    <mergeCell ref="Z112:AC112"/>
    <mergeCell ref="AD112:AH112"/>
    <mergeCell ref="AI112:AK112"/>
    <mergeCell ref="C113:D113"/>
    <mergeCell ref="E113:H113"/>
    <mergeCell ref="I113:M113"/>
    <mergeCell ref="N113:O113"/>
    <mergeCell ref="P113:S113"/>
    <mergeCell ref="T113:U113"/>
    <mergeCell ref="V113:W113"/>
    <mergeCell ref="X113:Y113"/>
    <mergeCell ref="Z113:AC113"/>
    <mergeCell ref="AD113:AH113"/>
    <mergeCell ref="AI113:AK113"/>
    <mergeCell ref="C114:D114"/>
    <mergeCell ref="E114:H114"/>
    <mergeCell ref="I114:M114"/>
    <mergeCell ref="N114:O114"/>
    <mergeCell ref="P114:S114"/>
    <mergeCell ref="T114:U114"/>
    <mergeCell ref="V114:W114"/>
    <mergeCell ref="X114:Y114"/>
    <mergeCell ref="Z114:AC114"/>
    <mergeCell ref="AD114:AH114"/>
    <mergeCell ref="AI114:AK114"/>
    <mergeCell ref="C115:D115"/>
    <mergeCell ref="E115:H115"/>
    <mergeCell ref="I115:M115"/>
    <mergeCell ref="N115:O115"/>
    <mergeCell ref="P115:S115"/>
    <mergeCell ref="T115:U115"/>
    <mergeCell ref="V115:W115"/>
    <mergeCell ref="X115:Y115"/>
    <mergeCell ref="Z115:AC115"/>
    <mergeCell ref="AD115:AH115"/>
    <mergeCell ref="AI115:AK115"/>
    <mergeCell ref="C116:D116"/>
    <mergeCell ref="E116:H116"/>
    <mergeCell ref="I116:M116"/>
    <mergeCell ref="N116:O116"/>
    <mergeCell ref="P116:S116"/>
    <mergeCell ref="T116:U116"/>
    <mergeCell ref="V116:W116"/>
    <mergeCell ref="X116:Y116"/>
    <mergeCell ref="Z116:AC116"/>
    <mergeCell ref="AD116:AH116"/>
    <mergeCell ref="AI116:AK116"/>
    <mergeCell ref="C117:D117"/>
    <mergeCell ref="E117:H117"/>
    <mergeCell ref="I117:M117"/>
    <mergeCell ref="N117:O117"/>
    <mergeCell ref="P117:S117"/>
    <mergeCell ref="T117:U117"/>
    <mergeCell ref="V117:W117"/>
    <mergeCell ref="X117:Y117"/>
    <mergeCell ref="Z117:AC117"/>
    <mergeCell ref="AD117:AH117"/>
    <mergeCell ref="AI117:AK117"/>
    <mergeCell ref="C118:D118"/>
    <mergeCell ref="E118:H118"/>
    <mergeCell ref="I118:M118"/>
    <mergeCell ref="N118:O118"/>
    <mergeCell ref="P118:S118"/>
    <mergeCell ref="T118:U118"/>
    <mergeCell ref="V118:W118"/>
    <mergeCell ref="X118:Y118"/>
    <mergeCell ref="Z118:AC118"/>
    <mergeCell ref="AD118:AH118"/>
    <mergeCell ref="AI118:AK118"/>
    <mergeCell ref="C119:D119"/>
    <mergeCell ref="E119:H119"/>
    <mergeCell ref="I119:M119"/>
    <mergeCell ref="N119:O119"/>
    <mergeCell ref="P119:S119"/>
    <mergeCell ref="T119:U119"/>
    <mergeCell ref="V119:W119"/>
    <mergeCell ref="X119:Y119"/>
    <mergeCell ref="Z119:AC119"/>
    <mergeCell ref="AD119:AH119"/>
    <mergeCell ref="AI119:AK119"/>
    <mergeCell ref="C120:D120"/>
    <mergeCell ref="E120:H120"/>
    <mergeCell ref="I120:M120"/>
    <mergeCell ref="N120:O120"/>
    <mergeCell ref="P120:S120"/>
    <mergeCell ref="T120:U120"/>
    <mergeCell ref="V120:W120"/>
    <mergeCell ref="X120:Y120"/>
    <mergeCell ref="Z120:AC120"/>
    <mergeCell ref="AD120:AH120"/>
    <mergeCell ref="AI120:AK120"/>
    <mergeCell ref="C121:D121"/>
    <mergeCell ref="E121:H121"/>
    <mergeCell ref="I121:M121"/>
    <mergeCell ref="N121:O121"/>
    <mergeCell ref="P121:S121"/>
    <mergeCell ref="T121:U121"/>
    <mergeCell ref="V121:W121"/>
    <mergeCell ref="X121:Y121"/>
    <mergeCell ref="Z121:AC121"/>
    <mergeCell ref="AD121:AH121"/>
    <mergeCell ref="AI121:AK121"/>
    <mergeCell ref="C122:D122"/>
    <mergeCell ref="E122:H122"/>
    <mergeCell ref="I122:M122"/>
    <mergeCell ref="N122:O122"/>
    <mergeCell ref="P122:S122"/>
    <mergeCell ref="T122:U122"/>
    <mergeCell ref="V122:W122"/>
    <mergeCell ref="X122:Y122"/>
    <mergeCell ref="Z122:AC122"/>
    <mergeCell ref="AD122:AH122"/>
    <mergeCell ref="AI122:AK122"/>
    <mergeCell ref="C123:D123"/>
    <mergeCell ref="E123:H123"/>
    <mergeCell ref="I123:M123"/>
    <mergeCell ref="N123:O123"/>
    <mergeCell ref="P123:S123"/>
    <mergeCell ref="T123:U123"/>
    <mergeCell ref="V123:W123"/>
    <mergeCell ref="X123:Y123"/>
    <mergeCell ref="Z123:AC123"/>
    <mergeCell ref="AD123:AH123"/>
    <mergeCell ref="AI123:AK123"/>
    <mergeCell ref="C124:D124"/>
    <mergeCell ref="E124:H124"/>
    <mergeCell ref="I124:M124"/>
    <mergeCell ref="N124:O124"/>
    <mergeCell ref="P124:S124"/>
    <mergeCell ref="T124:U124"/>
    <mergeCell ref="V124:W124"/>
    <mergeCell ref="X124:Y124"/>
    <mergeCell ref="Z124:AC124"/>
    <mergeCell ref="AD124:AH124"/>
    <mergeCell ref="AI124:AK124"/>
    <mergeCell ref="C125:D125"/>
    <mergeCell ref="E125:H125"/>
    <mergeCell ref="I125:M125"/>
    <mergeCell ref="N125:O125"/>
    <mergeCell ref="P125:S125"/>
    <mergeCell ref="T125:U125"/>
    <mergeCell ref="V125:W125"/>
    <mergeCell ref="X125:Y125"/>
    <mergeCell ref="Z125:AC125"/>
    <mergeCell ref="AD125:AH125"/>
    <mergeCell ref="AI125:AK125"/>
    <mergeCell ref="C126:D126"/>
    <mergeCell ref="E126:H126"/>
    <mergeCell ref="I126:M126"/>
    <mergeCell ref="N126:O126"/>
    <mergeCell ref="P126:S126"/>
    <mergeCell ref="T126:U126"/>
    <mergeCell ref="V126:W126"/>
    <mergeCell ref="X126:Y126"/>
    <mergeCell ref="Z126:AC126"/>
    <mergeCell ref="AD126:AH126"/>
    <mergeCell ref="AI126:AK126"/>
    <mergeCell ref="C127:D127"/>
    <mergeCell ref="E127:H127"/>
    <mergeCell ref="I127:M127"/>
    <mergeCell ref="N127:O127"/>
    <mergeCell ref="P127:S127"/>
    <mergeCell ref="T127:U127"/>
    <mergeCell ref="V127:W127"/>
    <mergeCell ref="X127:Y127"/>
    <mergeCell ref="Z127:AC127"/>
    <mergeCell ref="AD127:AH127"/>
    <mergeCell ref="AI127:AK127"/>
    <mergeCell ref="C128:D128"/>
    <mergeCell ref="E128:H128"/>
    <mergeCell ref="I128:M128"/>
    <mergeCell ref="N128:O128"/>
    <mergeCell ref="P128:S128"/>
    <mergeCell ref="T128:U128"/>
    <mergeCell ref="V128:W128"/>
    <mergeCell ref="X128:Y128"/>
    <mergeCell ref="Z128:AC128"/>
    <mergeCell ref="AD128:AH128"/>
    <mergeCell ref="AI128:AK128"/>
    <mergeCell ref="C129:D129"/>
    <mergeCell ref="E129:H129"/>
    <mergeCell ref="I129:M129"/>
    <mergeCell ref="N129:O129"/>
    <mergeCell ref="P129:S129"/>
    <mergeCell ref="T129:U129"/>
    <mergeCell ref="V129:W129"/>
    <mergeCell ref="X129:Y129"/>
    <mergeCell ref="Z129:AC129"/>
    <mergeCell ref="AD129:AH129"/>
    <mergeCell ref="AI129:AK129"/>
    <mergeCell ref="C130:D130"/>
    <mergeCell ref="E130:H130"/>
    <mergeCell ref="I130:M130"/>
    <mergeCell ref="N130:O130"/>
    <mergeCell ref="P130:S130"/>
    <mergeCell ref="T130:U130"/>
    <mergeCell ref="V130:W130"/>
    <mergeCell ref="X130:Y130"/>
    <mergeCell ref="Z130:AC130"/>
    <mergeCell ref="AD130:AH130"/>
    <mergeCell ref="AI130:AK130"/>
    <mergeCell ref="C131:D131"/>
    <mergeCell ref="E131:H131"/>
    <mergeCell ref="I131:M131"/>
    <mergeCell ref="N131:O131"/>
    <mergeCell ref="P131:S131"/>
    <mergeCell ref="T131:U131"/>
    <mergeCell ref="V131:W131"/>
    <mergeCell ref="X131:Y131"/>
    <mergeCell ref="Z131:AC131"/>
    <mergeCell ref="AD131:AH131"/>
    <mergeCell ref="AI131:AK131"/>
    <mergeCell ref="C132:D132"/>
    <mergeCell ref="E132:H132"/>
    <mergeCell ref="I132:M132"/>
    <mergeCell ref="N132:O132"/>
    <mergeCell ref="P132:S132"/>
    <mergeCell ref="T132:U132"/>
    <mergeCell ref="V132:W132"/>
    <mergeCell ref="X132:Y132"/>
    <mergeCell ref="Z132:AC132"/>
    <mergeCell ref="AD132:AH132"/>
    <mergeCell ref="AI132:AK132"/>
    <mergeCell ref="C133:D133"/>
    <mergeCell ref="E133:H133"/>
    <mergeCell ref="I133:M133"/>
    <mergeCell ref="N133:O133"/>
    <mergeCell ref="P133:S133"/>
    <mergeCell ref="T133:U133"/>
    <mergeCell ref="V133:W133"/>
    <mergeCell ref="X133:Y133"/>
    <mergeCell ref="Z133:AC133"/>
    <mergeCell ref="AD133:AH133"/>
    <mergeCell ref="AI133:AK133"/>
    <mergeCell ref="V134:W134"/>
    <mergeCell ref="C135:D135"/>
    <mergeCell ref="E135:H135"/>
    <mergeCell ref="I135:M135"/>
    <mergeCell ref="N135:O135"/>
    <mergeCell ref="P135:S135"/>
    <mergeCell ref="T135:U135"/>
    <mergeCell ref="V135:W135"/>
    <mergeCell ref="X135:Y135"/>
    <mergeCell ref="Z135:AC135"/>
    <mergeCell ref="AD135:AH135"/>
    <mergeCell ref="AI135:AK135"/>
    <mergeCell ref="C136:D136"/>
    <mergeCell ref="E136:H136"/>
    <mergeCell ref="I136:M136"/>
    <mergeCell ref="N136:O136"/>
    <mergeCell ref="P136:S136"/>
    <mergeCell ref="T136:U136"/>
    <mergeCell ref="V136:W136"/>
    <mergeCell ref="X136:Y136"/>
    <mergeCell ref="Z136:AC136"/>
    <mergeCell ref="AD136:AH136"/>
    <mergeCell ref="AI136:AK136"/>
    <mergeCell ref="C137:D137"/>
    <mergeCell ref="E137:H137"/>
    <mergeCell ref="I137:M137"/>
    <mergeCell ref="N137:O137"/>
    <mergeCell ref="P137:S137"/>
    <mergeCell ref="T137:U137"/>
    <mergeCell ref="V137:W137"/>
    <mergeCell ref="X137:Y137"/>
    <mergeCell ref="Z137:AC137"/>
    <mergeCell ref="AD137:AH137"/>
    <mergeCell ref="AI137:AK137"/>
    <mergeCell ref="C138:D138"/>
    <mergeCell ref="E138:H138"/>
    <mergeCell ref="I138:M138"/>
    <mergeCell ref="N138:O138"/>
    <mergeCell ref="P138:S138"/>
    <mergeCell ref="T138:U138"/>
    <mergeCell ref="V138:W138"/>
    <mergeCell ref="X138:Y138"/>
    <mergeCell ref="Z138:AC138"/>
    <mergeCell ref="AD138:AH138"/>
    <mergeCell ref="AI138:AK138"/>
    <mergeCell ref="C139:D139"/>
    <mergeCell ref="E139:H139"/>
    <mergeCell ref="I139:M139"/>
    <mergeCell ref="N139:O139"/>
    <mergeCell ref="P139:S139"/>
    <mergeCell ref="T139:U139"/>
    <mergeCell ref="V139:W139"/>
    <mergeCell ref="X139:Y139"/>
    <mergeCell ref="Z139:AC139"/>
    <mergeCell ref="AD139:AH139"/>
    <mergeCell ref="AI139:AK139"/>
    <mergeCell ref="C140:D140"/>
    <mergeCell ref="E140:H140"/>
    <mergeCell ref="I140:M140"/>
    <mergeCell ref="N140:O140"/>
    <mergeCell ref="P140:S140"/>
    <mergeCell ref="T140:U140"/>
    <mergeCell ref="V140:W140"/>
    <mergeCell ref="X140:Y140"/>
    <mergeCell ref="Z140:AC140"/>
    <mergeCell ref="AD140:AH140"/>
    <mergeCell ref="AI140:AK140"/>
    <mergeCell ref="C141:D141"/>
    <mergeCell ref="E141:H141"/>
    <mergeCell ref="I141:M141"/>
    <mergeCell ref="N141:O141"/>
    <mergeCell ref="P141:S141"/>
    <mergeCell ref="T141:U141"/>
    <mergeCell ref="V141:W141"/>
    <mergeCell ref="X141:Y141"/>
    <mergeCell ref="Z141:AC141"/>
    <mergeCell ref="AD141:AH141"/>
    <mergeCell ref="AI141:AK141"/>
    <mergeCell ref="C142:D142"/>
    <mergeCell ref="E142:H142"/>
    <mergeCell ref="I142:M142"/>
    <mergeCell ref="N142:O142"/>
    <mergeCell ref="P142:S142"/>
    <mergeCell ref="T142:U142"/>
    <mergeCell ref="V142:W142"/>
    <mergeCell ref="X142:Y142"/>
    <mergeCell ref="Z142:AC142"/>
    <mergeCell ref="AD142:AH142"/>
    <mergeCell ref="AI142:AK142"/>
    <mergeCell ref="C143:D143"/>
    <mergeCell ref="E143:H143"/>
    <mergeCell ref="I143:M143"/>
    <mergeCell ref="N143:O143"/>
    <mergeCell ref="P143:S143"/>
    <mergeCell ref="T143:U143"/>
    <mergeCell ref="V143:W143"/>
    <mergeCell ref="X143:Y143"/>
    <mergeCell ref="Z143:AC143"/>
    <mergeCell ref="AD143:AH143"/>
    <mergeCell ref="AI143:AK143"/>
    <mergeCell ref="C144:D144"/>
    <mergeCell ref="E144:H144"/>
    <mergeCell ref="I144:M144"/>
    <mergeCell ref="N144:O144"/>
    <mergeCell ref="P144:S144"/>
    <mergeCell ref="T144:U144"/>
    <mergeCell ref="V144:W144"/>
    <mergeCell ref="X144:Y144"/>
    <mergeCell ref="Z144:AC144"/>
    <mergeCell ref="AD144:AH144"/>
    <mergeCell ref="AI144:AK144"/>
    <mergeCell ref="C145:D145"/>
    <mergeCell ref="E145:H145"/>
    <mergeCell ref="I145:M145"/>
    <mergeCell ref="N145:O145"/>
    <mergeCell ref="P145:S145"/>
    <mergeCell ref="T145:U145"/>
    <mergeCell ref="V145:W145"/>
    <mergeCell ref="X145:Y145"/>
    <mergeCell ref="Z145:AC145"/>
    <mergeCell ref="AD145:AH145"/>
    <mergeCell ref="AI145:AK145"/>
    <mergeCell ref="C146:D146"/>
    <mergeCell ref="E146:H146"/>
    <mergeCell ref="I146:M146"/>
    <mergeCell ref="N146:O146"/>
    <mergeCell ref="P146:S146"/>
    <mergeCell ref="T146:U146"/>
    <mergeCell ref="V146:W146"/>
    <mergeCell ref="X146:Y146"/>
    <mergeCell ref="Z146:AC146"/>
    <mergeCell ref="AD146:AH146"/>
    <mergeCell ref="AI146:AK146"/>
    <mergeCell ref="C147:D147"/>
    <mergeCell ref="E147:H147"/>
    <mergeCell ref="I147:M147"/>
    <mergeCell ref="N147:O147"/>
    <mergeCell ref="P147:S147"/>
    <mergeCell ref="T147:U147"/>
    <mergeCell ref="V147:W147"/>
    <mergeCell ref="X147:Y147"/>
    <mergeCell ref="Z147:AC147"/>
    <mergeCell ref="AD147:AH147"/>
    <mergeCell ref="AI147:AK147"/>
    <mergeCell ref="C148:D148"/>
    <mergeCell ref="E148:H148"/>
    <mergeCell ref="I148:M148"/>
    <mergeCell ref="N148:O148"/>
    <mergeCell ref="P148:S148"/>
    <mergeCell ref="T148:U148"/>
    <mergeCell ref="V148:W148"/>
    <mergeCell ref="X148:Y148"/>
    <mergeCell ref="Z148:AC148"/>
    <mergeCell ref="AD148:AH148"/>
    <mergeCell ref="AI148:AK148"/>
    <mergeCell ref="C149:D149"/>
    <mergeCell ref="E149:H149"/>
    <mergeCell ref="I149:M149"/>
    <mergeCell ref="N149:O149"/>
    <mergeCell ref="P149:S149"/>
    <mergeCell ref="T149:U149"/>
    <mergeCell ref="V149:W149"/>
    <mergeCell ref="X149:Y149"/>
    <mergeCell ref="Z149:AC149"/>
    <mergeCell ref="AD149:AH149"/>
    <mergeCell ref="AI149:AK149"/>
    <mergeCell ref="C150:D150"/>
    <mergeCell ref="E150:H150"/>
    <mergeCell ref="I150:M150"/>
    <mergeCell ref="N150:O150"/>
    <mergeCell ref="P150:S150"/>
    <mergeCell ref="T150:U150"/>
    <mergeCell ref="V150:W150"/>
    <mergeCell ref="X150:Y150"/>
    <mergeCell ref="Z150:AC150"/>
    <mergeCell ref="AD150:AH150"/>
    <mergeCell ref="AI150:AK150"/>
    <mergeCell ref="C151:D151"/>
    <mergeCell ref="E151:H151"/>
    <mergeCell ref="I151:M151"/>
    <mergeCell ref="N151:O151"/>
    <mergeCell ref="P151:S151"/>
    <mergeCell ref="T151:U151"/>
    <mergeCell ref="V151:W151"/>
    <mergeCell ref="X151:Y151"/>
    <mergeCell ref="Z151:AC151"/>
    <mergeCell ref="AD151:AH151"/>
    <mergeCell ref="AI151:AK151"/>
    <mergeCell ref="C152:D152"/>
    <mergeCell ref="E152:H152"/>
    <mergeCell ref="I152:M152"/>
    <mergeCell ref="N152:O152"/>
    <mergeCell ref="P152:S152"/>
    <mergeCell ref="T152:U152"/>
    <mergeCell ref="V152:W152"/>
    <mergeCell ref="X152:Y152"/>
    <mergeCell ref="Z152:AC152"/>
    <mergeCell ref="AD152:AH152"/>
    <mergeCell ref="AI152:AK152"/>
    <mergeCell ref="C153:D153"/>
    <mergeCell ref="E153:H153"/>
    <mergeCell ref="I153:M153"/>
    <mergeCell ref="N153:O153"/>
    <mergeCell ref="P153:S153"/>
    <mergeCell ref="T153:U153"/>
    <mergeCell ref="V153:W153"/>
    <mergeCell ref="X153:Y153"/>
    <mergeCell ref="Z153:AC153"/>
    <mergeCell ref="AD153:AH153"/>
    <mergeCell ref="AI153:AK153"/>
    <mergeCell ref="C154:D154"/>
    <mergeCell ref="E154:H154"/>
    <mergeCell ref="I154:M154"/>
    <mergeCell ref="N154:O154"/>
    <mergeCell ref="P154:S154"/>
    <mergeCell ref="T154:U154"/>
    <mergeCell ref="V154:W154"/>
    <mergeCell ref="X154:Y154"/>
    <mergeCell ref="Z154:AC154"/>
    <mergeCell ref="AD154:AH154"/>
    <mergeCell ref="AI154:AK154"/>
    <mergeCell ref="C155:D155"/>
    <mergeCell ref="E155:H155"/>
    <mergeCell ref="I155:M155"/>
    <mergeCell ref="N155:O155"/>
    <mergeCell ref="P155:S155"/>
    <mergeCell ref="T155:U155"/>
    <mergeCell ref="V155:W155"/>
    <mergeCell ref="X155:Y155"/>
    <mergeCell ref="Z155:AC155"/>
    <mergeCell ref="AD155:AH155"/>
    <mergeCell ref="AI155:AK155"/>
    <mergeCell ref="C156:D156"/>
    <mergeCell ref="E156:H156"/>
    <mergeCell ref="I156:M156"/>
    <mergeCell ref="N156:O156"/>
    <mergeCell ref="P156:S156"/>
    <mergeCell ref="T156:U156"/>
    <mergeCell ref="V156:W156"/>
    <mergeCell ref="X156:Y156"/>
    <mergeCell ref="Z156:AC156"/>
    <mergeCell ref="AD156:AH156"/>
    <mergeCell ref="AI156:AK156"/>
    <mergeCell ref="C157:D157"/>
    <mergeCell ref="E157:H157"/>
    <mergeCell ref="I157:M157"/>
    <mergeCell ref="N157:O157"/>
    <mergeCell ref="P157:S157"/>
    <mergeCell ref="T157:U157"/>
    <mergeCell ref="V157:W157"/>
    <mergeCell ref="X157:Y157"/>
    <mergeCell ref="Z157:AC157"/>
    <mergeCell ref="AD157:AH157"/>
    <mergeCell ref="AI157:AK157"/>
    <mergeCell ref="C158:D158"/>
    <mergeCell ref="E158:H158"/>
    <mergeCell ref="I158:M158"/>
    <mergeCell ref="N158:O158"/>
    <mergeCell ref="P158:S158"/>
    <mergeCell ref="T158:U158"/>
    <mergeCell ref="V158:W158"/>
    <mergeCell ref="X158:Y158"/>
    <mergeCell ref="Z158:AC158"/>
    <mergeCell ref="AD158:AH158"/>
    <mergeCell ref="AI158:AK158"/>
    <mergeCell ref="C159:D159"/>
    <mergeCell ref="E159:H159"/>
    <mergeCell ref="I159:M159"/>
    <mergeCell ref="N159:O159"/>
    <mergeCell ref="P159:S159"/>
    <mergeCell ref="T159:U159"/>
    <mergeCell ref="V159:W159"/>
    <mergeCell ref="X159:Y159"/>
    <mergeCell ref="Z159:AC159"/>
    <mergeCell ref="AD159:AH159"/>
    <mergeCell ref="AI159:AK159"/>
    <mergeCell ref="C160:D160"/>
    <mergeCell ref="E160:H160"/>
    <mergeCell ref="I160:M160"/>
    <mergeCell ref="N160:O160"/>
    <mergeCell ref="P160:S160"/>
    <mergeCell ref="T160:U160"/>
    <mergeCell ref="V160:W160"/>
    <mergeCell ref="X160:Y160"/>
    <mergeCell ref="Z160:AC160"/>
    <mergeCell ref="AD160:AH160"/>
    <mergeCell ref="AI160:AK160"/>
    <mergeCell ref="C161:D161"/>
    <mergeCell ref="E161:H161"/>
    <mergeCell ref="I161:M161"/>
    <mergeCell ref="N161:O161"/>
    <mergeCell ref="P161:S161"/>
    <mergeCell ref="T161:U161"/>
    <mergeCell ref="V161:W161"/>
    <mergeCell ref="X161:Y161"/>
    <mergeCell ref="Z161:AC161"/>
    <mergeCell ref="AD161:AH161"/>
    <mergeCell ref="AI161:AK161"/>
    <mergeCell ref="C162:D162"/>
    <mergeCell ref="E162:H162"/>
    <mergeCell ref="I162:M162"/>
    <mergeCell ref="N162:O162"/>
    <mergeCell ref="P162:S162"/>
    <mergeCell ref="T162:U162"/>
    <mergeCell ref="V162:W162"/>
    <mergeCell ref="X162:Y162"/>
    <mergeCell ref="Z162:AC162"/>
    <mergeCell ref="AD162:AH162"/>
    <mergeCell ref="AI162:AK162"/>
    <mergeCell ref="C163:D163"/>
    <mergeCell ref="E163:H163"/>
    <mergeCell ref="I163:M163"/>
    <mergeCell ref="N163:O163"/>
    <mergeCell ref="P163:S163"/>
    <mergeCell ref="T163:U163"/>
    <mergeCell ref="V163:W163"/>
    <mergeCell ref="X163:Y163"/>
    <mergeCell ref="Z163:AC163"/>
    <mergeCell ref="AD163:AH163"/>
    <mergeCell ref="AI163:AK163"/>
    <mergeCell ref="C164:D164"/>
    <mergeCell ref="E164:H164"/>
    <mergeCell ref="I164:M164"/>
    <mergeCell ref="N164:O164"/>
    <mergeCell ref="P164:S164"/>
    <mergeCell ref="T164:U164"/>
    <mergeCell ref="V164:W164"/>
    <mergeCell ref="X164:Y164"/>
    <mergeCell ref="Z164:AC164"/>
    <mergeCell ref="AD164:AH164"/>
    <mergeCell ref="AI164:AK164"/>
    <mergeCell ref="C165:D165"/>
    <mergeCell ref="E165:H165"/>
    <mergeCell ref="I165:M165"/>
    <mergeCell ref="N165:O165"/>
    <mergeCell ref="P165:S165"/>
    <mergeCell ref="T165:U165"/>
    <mergeCell ref="V165:W165"/>
    <mergeCell ref="X165:Y165"/>
    <mergeCell ref="Z165:AC165"/>
    <mergeCell ref="AD165:AH165"/>
    <mergeCell ref="AI165:AK165"/>
    <mergeCell ref="C166:D166"/>
    <mergeCell ref="E166:H166"/>
    <mergeCell ref="I166:M166"/>
    <mergeCell ref="N166:O166"/>
    <mergeCell ref="P166:S166"/>
    <mergeCell ref="T166:U166"/>
    <mergeCell ref="V166:W166"/>
    <mergeCell ref="X166:Y166"/>
    <mergeCell ref="Z166:AC166"/>
    <mergeCell ref="AD166:AH166"/>
    <mergeCell ref="AI166:AK166"/>
    <mergeCell ref="C167:D167"/>
    <mergeCell ref="E167:H167"/>
    <mergeCell ref="I167:M167"/>
    <mergeCell ref="N167:O167"/>
    <mergeCell ref="P167:S167"/>
    <mergeCell ref="T167:U167"/>
    <mergeCell ref="V167:W167"/>
    <mergeCell ref="X167:Y167"/>
    <mergeCell ref="Z167:AC167"/>
    <mergeCell ref="AD167:AH167"/>
    <mergeCell ref="AI167:AK167"/>
    <mergeCell ref="C168:D168"/>
    <mergeCell ref="E168:H168"/>
    <mergeCell ref="I168:M168"/>
    <mergeCell ref="N168:O168"/>
    <mergeCell ref="P168:S168"/>
    <mergeCell ref="T168:U168"/>
    <mergeCell ref="V168:W168"/>
    <mergeCell ref="X168:Y168"/>
    <mergeCell ref="Z168:AC168"/>
    <mergeCell ref="AD168:AH168"/>
    <mergeCell ref="AI168:AK168"/>
    <mergeCell ref="C169:D169"/>
    <mergeCell ref="E169:H169"/>
    <mergeCell ref="I169:M169"/>
    <mergeCell ref="N169:O169"/>
    <mergeCell ref="P169:S169"/>
    <mergeCell ref="T169:U169"/>
    <mergeCell ref="V169:W169"/>
    <mergeCell ref="X169:Y169"/>
    <mergeCell ref="Z169:AC169"/>
    <mergeCell ref="AD169:AH169"/>
    <mergeCell ref="AI169:AK169"/>
    <mergeCell ref="C170:D170"/>
    <mergeCell ref="E170:H170"/>
    <mergeCell ref="I170:M170"/>
    <mergeCell ref="N170:O170"/>
    <mergeCell ref="P170:S170"/>
    <mergeCell ref="T170:U170"/>
    <mergeCell ref="V170:W170"/>
    <mergeCell ref="X170:Y170"/>
    <mergeCell ref="Z170:AC170"/>
    <mergeCell ref="AD170:AH170"/>
    <mergeCell ref="AI170:AK170"/>
    <mergeCell ref="C171:D171"/>
    <mergeCell ref="E171:H171"/>
    <mergeCell ref="I171:M171"/>
    <mergeCell ref="N171:O171"/>
    <mergeCell ref="P171:S171"/>
    <mergeCell ref="T171:U171"/>
    <mergeCell ref="V171:W171"/>
    <mergeCell ref="X171:Y171"/>
    <mergeCell ref="Z171:AC171"/>
    <mergeCell ref="AD171:AH171"/>
    <mergeCell ref="AI171:AK171"/>
    <mergeCell ref="C172:D172"/>
    <mergeCell ref="E172:H172"/>
    <mergeCell ref="I172:M172"/>
    <mergeCell ref="N172:O172"/>
    <mergeCell ref="P172:S172"/>
    <mergeCell ref="T172:U172"/>
    <mergeCell ref="V172:W172"/>
    <mergeCell ref="X172:Y172"/>
    <mergeCell ref="Z172:AC172"/>
    <mergeCell ref="AD172:AH172"/>
    <mergeCell ref="AI172:AK172"/>
    <mergeCell ref="C173:D173"/>
    <mergeCell ref="E173:H173"/>
    <mergeCell ref="I173:M173"/>
    <mergeCell ref="N173:O173"/>
    <mergeCell ref="P173:S173"/>
    <mergeCell ref="T173:U173"/>
    <mergeCell ref="V173:W173"/>
    <mergeCell ref="X173:Y173"/>
    <mergeCell ref="Z173:AC173"/>
    <mergeCell ref="AD173:AH173"/>
    <mergeCell ref="AI173:AK173"/>
    <mergeCell ref="C174:D174"/>
    <mergeCell ref="E174:H174"/>
    <mergeCell ref="I174:M174"/>
    <mergeCell ref="N174:O174"/>
    <mergeCell ref="P174:S174"/>
    <mergeCell ref="T174:U174"/>
    <mergeCell ref="V174:W174"/>
    <mergeCell ref="X174:Y174"/>
    <mergeCell ref="Z174:AC174"/>
    <mergeCell ref="AD174:AH174"/>
    <mergeCell ref="AI174:AK174"/>
    <mergeCell ref="V175:W175"/>
    <mergeCell ref="C176:D176"/>
    <mergeCell ref="E176:H176"/>
    <mergeCell ref="I176:M176"/>
    <mergeCell ref="N176:O176"/>
    <mergeCell ref="P176:S176"/>
    <mergeCell ref="T176:U176"/>
    <mergeCell ref="V176:W176"/>
    <mergeCell ref="X176:Y176"/>
    <mergeCell ref="Z176:AC176"/>
    <mergeCell ref="AD176:AH176"/>
    <mergeCell ref="AI176:AK176"/>
    <mergeCell ref="C177:D177"/>
    <mergeCell ref="E177:H177"/>
    <mergeCell ref="I177:M177"/>
    <mergeCell ref="N177:O177"/>
    <mergeCell ref="P177:S177"/>
    <mergeCell ref="T177:U177"/>
    <mergeCell ref="V177:W177"/>
    <mergeCell ref="X177:Y177"/>
    <mergeCell ref="Z177:AC177"/>
    <mergeCell ref="AD177:AH177"/>
    <mergeCell ref="AI177:AK177"/>
    <mergeCell ref="C178:D178"/>
    <mergeCell ref="E178:H178"/>
    <mergeCell ref="I178:M178"/>
    <mergeCell ref="N178:O178"/>
    <mergeCell ref="P178:S178"/>
    <mergeCell ref="T178:U178"/>
    <mergeCell ref="V178:W178"/>
    <mergeCell ref="X178:Y178"/>
    <mergeCell ref="Z178:AC178"/>
    <mergeCell ref="AD178:AH178"/>
    <mergeCell ref="AI178:AK178"/>
    <mergeCell ref="C179:D179"/>
    <mergeCell ref="E179:H179"/>
    <mergeCell ref="I179:M179"/>
    <mergeCell ref="N179:O179"/>
    <mergeCell ref="P179:S179"/>
    <mergeCell ref="T179:U179"/>
    <mergeCell ref="V179:W179"/>
    <mergeCell ref="X179:Y179"/>
    <mergeCell ref="Z179:AC179"/>
    <mergeCell ref="AD179:AH179"/>
    <mergeCell ref="AI179:AK179"/>
    <mergeCell ref="C180:D180"/>
    <mergeCell ref="E180:H180"/>
    <mergeCell ref="I180:M180"/>
    <mergeCell ref="N180:O180"/>
    <mergeCell ref="P180:S180"/>
    <mergeCell ref="T180:U180"/>
    <mergeCell ref="V180:W180"/>
    <mergeCell ref="X180:Y180"/>
    <mergeCell ref="Z180:AC180"/>
    <mergeCell ref="AD180:AH180"/>
    <mergeCell ref="AI180:AK180"/>
    <mergeCell ref="C181:D181"/>
    <mergeCell ref="E181:H181"/>
    <mergeCell ref="I181:M181"/>
    <mergeCell ref="N181:O181"/>
    <mergeCell ref="P181:S181"/>
    <mergeCell ref="T181:U181"/>
    <mergeCell ref="V181:W181"/>
    <mergeCell ref="X181:Y181"/>
    <mergeCell ref="Z181:AC181"/>
    <mergeCell ref="AD181:AH181"/>
    <mergeCell ref="AI181:AK181"/>
    <mergeCell ref="C182:D182"/>
    <mergeCell ref="E182:H182"/>
    <mergeCell ref="I182:M182"/>
    <mergeCell ref="N182:O182"/>
    <mergeCell ref="P182:S182"/>
    <mergeCell ref="T182:U182"/>
    <mergeCell ref="V182:W182"/>
    <mergeCell ref="X182:Y182"/>
    <mergeCell ref="Z182:AC182"/>
    <mergeCell ref="AD182:AH182"/>
    <mergeCell ref="AI182:AK182"/>
    <mergeCell ref="C183:D183"/>
    <mergeCell ref="E183:H183"/>
    <mergeCell ref="I183:M183"/>
    <mergeCell ref="N183:O183"/>
    <mergeCell ref="P183:S183"/>
    <mergeCell ref="T183:U183"/>
    <mergeCell ref="V183:W183"/>
    <mergeCell ref="X183:Y183"/>
    <mergeCell ref="Z183:AC183"/>
    <mergeCell ref="AD183:AH183"/>
    <mergeCell ref="AI183:AK183"/>
    <mergeCell ref="C184:D184"/>
    <mergeCell ref="E184:H184"/>
    <mergeCell ref="I184:M184"/>
    <mergeCell ref="N184:O184"/>
    <mergeCell ref="P184:S184"/>
    <mergeCell ref="T184:U184"/>
    <mergeCell ref="V184:W184"/>
    <mergeCell ref="X184:Y184"/>
    <mergeCell ref="Z184:AC184"/>
    <mergeCell ref="AD184:AH184"/>
    <mergeCell ref="AI184:AK184"/>
    <mergeCell ref="C185:D185"/>
    <mergeCell ref="E185:H185"/>
    <mergeCell ref="I185:M185"/>
    <mergeCell ref="N185:O185"/>
    <mergeCell ref="P185:S185"/>
    <mergeCell ref="T185:U185"/>
    <mergeCell ref="V185:W185"/>
    <mergeCell ref="X185:Y185"/>
    <mergeCell ref="Z185:AC185"/>
    <mergeCell ref="AD185:AH185"/>
    <mergeCell ref="AI185:AK185"/>
    <mergeCell ref="C186:D186"/>
    <mergeCell ref="E186:H186"/>
    <mergeCell ref="I186:M186"/>
    <mergeCell ref="N186:O186"/>
    <mergeCell ref="P186:S186"/>
    <mergeCell ref="T186:U186"/>
    <mergeCell ref="V186:W186"/>
    <mergeCell ref="X186:Y186"/>
    <mergeCell ref="Z186:AC186"/>
    <mergeCell ref="AD186:AH186"/>
    <mergeCell ref="AI186:AK186"/>
    <mergeCell ref="C187:D187"/>
    <mergeCell ref="E187:H187"/>
    <mergeCell ref="I187:M187"/>
    <mergeCell ref="N187:O187"/>
    <mergeCell ref="P187:S187"/>
    <mergeCell ref="T187:U187"/>
    <mergeCell ref="V187:W187"/>
    <mergeCell ref="X187:Y187"/>
    <mergeCell ref="Z187:AC187"/>
    <mergeCell ref="AD187:AH187"/>
    <mergeCell ref="AI187:AK187"/>
    <mergeCell ref="C188:D188"/>
    <mergeCell ref="E188:H188"/>
    <mergeCell ref="I188:M188"/>
    <mergeCell ref="N188:O188"/>
    <mergeCell ref="P188:S188"/>
    <mergeCell ref="T188:U188"/>
    <mergeCell ref="V188:W188"/>
    <mergeCell ref="X188:Y188"/>
    <mergeCell ref="Z188:AC188"/>
    <mergeCell ref="AD188:AH188"/>
    <mergeCell ref="AI188:AK188"/>
    <mergeCell ref="C189:D189"/>
    <mergeCell ref="E189:H189"/>
    <mergeCell ref="I189:M189"/>
    <mergeCell ref="N189:O189"/>
    <mergeCell ref="P189:S189"/>
    <mergeCell ref="T189:U189"/>
    <mergeCell ref="V189:W189"/>
    <mergeCell ref="X189:Y189"/>
    <mergeCell ref="Z189:AC189"/>
    <mergeCell ref="AD189:AH189"/>
    <mergeCell ref="AI189:AK189"/>
    <mergeCell ref="C190:D190"/>
    <mergeCell ref="E190:H190"/>
    <mergeCell ref="I190:M190"/>
    <mergeCell ref="N190:O190"/>
    <mergeCell ref="P190:S190"/>
    <mergeCell ref="T190:U190"/>
    <mergeCell ref="V190:W190"/>
    <mergeCell ref="X190:Y190"/>
    <mergeCell ref="Z190:AC190"/>
    <mergeCell ref="AD190:AH190"/>
    <mergeCell ref="AI190:AK190"/>
    <mergeCell ref="C191:D191"/>
    <mergeCell ref="E191:H191"/>
    <mergeCell ref="I191:M191"/>
    <mergeCell ref="N191:O191"/>
    <mergeCell ref="P191:S191"/>
    <mergeCell ref="T191:U191"/>
    <mergeCell ref="V191:W191"/>
    <mergeCell ref="X191:Y191"/>
    <mergeCell ref="Z191:AC191"/>
    <mergeCell ref="AD191:AH191"/>
    <mergeCell ref="AI191:AK191"/>
    <mergeCell ref="C192:D192"/>
    <mergeCell ref="E192:H192"/>
    <mergeCell ref="I192:M192"/>
    <mergeCell ref="N192:O192"/>
    <mergeCell ref="P192:S192"/>
    <mergeCell ref="T192:U192"/>
    <mergeCell ref="V192:W192"/>
    <mergeCell ref="X192:Y192"/>
    <mergeCell ref="Z192:AC192"/>
    <mergeCell ref="AD192:AH192"/>
    <mergeCell ref="AI192:AK192"/>
    <mergeCell ref="C193:D193"/>
    <mergeCell ref="E193:H193"/>
    <mergeCell ref="I193:M193"/>
    <mergeCell ref="N193:O193"/>
    <mergeCell ref="P193:S193"/>
    <mergeCell ref="T193:U193"/>
    <mergeCell ref="V193:W193"/>
    <mergeCell ref="X193:Y193"/>
    <mergeCell ref="Z193:AC193"/>
    <mergeCell ref="AD193:AH193"/>
    <mergeCell ref="AI193:AK193"/>
    <mergeCell ref="C194:D194"/>
    <mergeCell ref="E194:H194"/>
    <mergeCell ref="I194:M194"/>
    <mergeCell ref="N194:O194"/>
    <mergeCell ref="P194:S194"/>
    <mergeCell ref="T194:U194"/>
    <mergeCell ref="V194:W194"/>
    <mergeCell ref="X194:Y194"/>
    <mergeCell ref="Z194:AC194"/>
    <mergeCell ref="AD194:AH194"/>
    <mergeCell ref="AI194:AK194"/>
    <mergeCell ref="C195:D195"/>
    <mergeCell ref="E195:H195"/>
    <mergeCell ref="I195:M195"/>
    <mergeCell ref="N195:O195"/>
    <mergeCell ref="P195:S195"/>
    <mergeCell ref="T195:U195"/>
    <mergeCell ref="V195:W195"/>
    <mergeCell ref="X195:Y195"/>
    <mergeCell ref="Z195:AC195"/>
    <mergeCell ref="AD195:AH195"/>
    <mergeCell ref="AI195:AK195"/>
    <mergeCell ref="C196:D196"/>
    <mergeCell ref="E196:H196"/>
    <mergeCell ref="I196:M196"/>
    <mergeCell ref="N196:O196"/>
    <mergeCell ref="P196:S196"/>
    <mergeCell ref="T196:U196"/>
    <mergeCell ref="V196:W196"/>
    <mergeCell ref="X196:Y196"/>
    <mergeCell ref="Z196:AC196"/>
    <mergeCell ref="AD196:AH196"/>
    <mergeCell ref="AI196:AK196"/>
    <mergeCell ref="C197:D197"/>
    <mergeCell ref="E197:H197"/>
    <mergeCell ref="I197:M197"/>
    <mergeCell ref="N197:O197"/>
    <mergeCell ref="P197:S197"/>
    <mergeCell ref="T197:U197"/>
    <mergeCell ref="V197:W197"/>
    <mergeCell ref="X197:Y197"/>
    <mergeCell ref="Z197:AC197"/>
    <mergeCell ref="AD197:AH197"/>
    <mergeCell ref="AI197:AK197"/>
    <mergeCell ref="C198:D198"/>
    <mergeCell ref="E198:H198"/>
    <mergeCell ref="I198:M198"/>
    <mergeCell ref="N198:O198"/>
    <mergeCell ref="P198:S198"/>
    <mergeCell ref="T198:U198"/>
    <mergeCell ref="V198:W198"/>
    <mergeCell ref="X198:Y198"/>
    <mergeCell ref="Z198:AC198"/>
    <mergeCell ref="AD198:AH198"/>
    <mergeCell ref="AI198:AK198"/>
    <mergeCell ref="C199:D199"/>
    <mergeCell ref="E199:H199"/>
    <mergeCell ref="I199:M199"/>
    <mergeCell ref="N199:O199"/>
    <mergeCell ref="P199:S199"/>
    <mergeCell ref="T199:U199"/>
    <mergeCell ref="V199:W199"/>
    <mergeCell ref="X199:Y199"/>
    <mergeCell ref="Z199:AC199"/>
    <mergeCell ref="AD199:AH199"/>
    <mergeCell ref="AI199:AK199"/>
    <mergeCell ref="C200:D200"/>
    <mergeCell ref="E200:H200"/>
    <mergeCell ref="I200:M200"/>
    <mergeCell ref="N200:O200"/>
    <mergeCell ref="P200:S200"/>
    <mergeCell ref="T200:U200"/>
    <mergeCell ref="V200:W200"/>
    <mergeCell ref="X200:Y200"/>
    <mergeCell ref="Z200:AC200"/>
    <mergeCell ref="AD200:AH200"/>
    <mergeCell ref="AI200:AK200"/>
    <mergeCell ref="C201:D201"/>
    <mergeCell ref="E201:H201"/>
    <mergeCell ref="I201:M201"/>
    <mergeCell ref="N201:O201"/>
    <mergeCell ref="P201:S201"/>
    <mergeCell ref="T201:U201"/>
    <mergeCell ref="V201:W201"/>
    <mergeCell ref="X201:Y201"/>
    <mergeCell ref="Z201:AC201"/>
    <mergeCell ref="AD201:AH201"/>
    <mergeCell ref="AI201:AK201"/>
    <mergeCell ref="C202:D202"/>
    <mergeCell ref="E202:H202"/>
    <mergeCell ref="I202:M202"/>
    <mergeCell ref="N202:O202"/>
    <mergeCell ref="P202:S202"/>
    <mergeCell ref="T202:U202"/>
    <mergeCell ref="V202:W202"/>
    <mergeCell ref="X202:Y202"/>
    <mergeCell ref="Z202:AC202"/>
    <mergeCell ref="AD202:AH202"/>
    <mergeCell ref="AI202:AK202"/>
    <mergeCell ref="C203:D203"/>
    <mergeCell ref="E203:H203"/>
    <mergeCell ref="I203:M203"/>
    <mergeCell ref="N203:O203"/>
    <mergeCell ref="P203:S203"/>
    <mergeCell ref="T203:U203"/>
    <mergeCell ref="V203:W203"/>
    <mergeCell ref="X203:Y203"/>
    <mergeCell ref="Z203:AC203"/>
    <mergeCell ref="AD203:AH203"/>
    <mergeCell ref="AI203:AK203"/>
    <mergeCell ref="C204:D204"/>
    <mergeCell ref="E204:H204"/>
    <mergeCell ref="I204:M204"/>
    <mergeCell ref="N204:O204"/>
    <mergeCell ref="P204:S204"/>
    <mergeCell ref="T204:U204"/>
    <mergeCell ref="V204:W204"/>
    <mergeCell ref="X204:Y204"/>
    <mergeCell ref="Z204:AC204"/>
    <mergeCell ref="AD204:AH204"/>
    <mergeCell ref="AI204:AK204"/>
    <mergeCell ref="C205:D205"/>
    <mergeCell ref="E205:H205"/>
    <mergeCell ref="I205:M205"/>
    <mergeCell ref="N205:O205"/>
    <mergeCell ref="P205:S205"/>
    <mergeCell ref="T205:U205"/>
    <mergeCell ref="V205:W205"/>
    <mergeCell ref="X205:Y205"/>
    <mergeCell ref="Z205:AC205"/>
    <mergeCell ref="AD205:AH205"/>
    <mergeCell ref="AI205:AK205"/>
    <mergeCell ref="C206:D206"/>
    <mergeCell ref="E206:H206"/>
    <mergeCell ref="I206:M206"/>
    <mergeCell ref="N206:O206"/>
    <mergeCell ref="P206:S206"/>
    <mergeCell ref="T206:U206"/>
    <mergeCell ref="V206:W206"/>
    <mergeCell ref="X206:Y206"/>
    <mergeCell ref="Z206:AC206"/>
    <mergeCell ref="AD206:AH206"/>
    <mergeCell ref="AI206:AK206"/>
    <mergeCell ref="C207:D207"/>
    <mergeCell ref="E207:H207"/>
    <mergeCell ref="I207:M207"/>
    <mergeCell ref="N207:O207"/>
    <mergeCell ref="P207:S207"/>
    <mergeCell ref="T207:U207"/>
    <mergeCell ref="V207:W207"/>
    <mergeCell ref="X207:Y207"/>
    <mergeCell ref="Z207:AC207"/>
    <mergeCell ref="AD207:AH207"/>
    <mergeCell ref="AI207:AK207"/>
    <mergeCell ref="C208:D208"/>
    <mergeCell ref="E208:H208"/>
    <mergeCell ref="I208:M208"/>
    <mergeCell ref="N208:O208"/>
    <mergeCell ref="P208:S208"/>
    <mergeCell ref="T208:U208"/>
    <mergeCell ref="V208:W208"/>
    <mergeCell ref="X208:Y208"/>
    <mergeCell ref="Z208:AC208"/>
    <mergeCell ref="AD208:AH208"/>
    <mergeCell ref="AI208:AK208"/>
    <mergeCell ref="C209:D209"/>
    <mergeCell ref="E209:H209"/>
    <mergeCell ref="I209:M209"/>
    <mergeCell ref="N209:O209"/>
    <mergeCell ref="P209:S209"/>
    <mergeCell ref="T209:U209"/>
    <mergeCell ref="V209:W209"/>
    <mergeCell ref="X209:Y209"/>
    <mergeCell ref="Z209:AC209"/>
    <mergeCell ref="AD209:AH209"/>
    <mergeCell ref="AI209:AK209"/>
    <mergeCell ref="C210:D210"/>
    <mergeCell ref="E210:H210"/>
    <mergeCell ref="I210:M210"/>
    <mergeCell ref="N210:O210"/>
    <mergeCell ref="P210:S210"/>
    <mergeCell ref="T210:U210"/>
    <mergeCell ref="V210:W210"/>
    <mergeCell ref="X210:Y210"/>
    <mergeCell ref="Z210:AC210"/>
    <mergeCell ref="AD210:AH210"/>
    <mergeCell ref="AI210:AK210"/>
    <mergeCell ref="C211:D211"/>
    <mergeCell ref="E211:H211"/>
    <mergeCell ref="I211:M211"/>
    <mergeCell ref="N211:O211"/>
    <mergeCell ref="P211:S211"/>
    <mergeCell ref="T211:U211"/>
    <mergeCell ref="V211:W211"/>
    <mergeCell ref="X211:Y211"/>
    <mergeCell ref="Z211:AC211"/>
    <mergeCell ref="AD211:AH211"/>
    <mergeCell ref="AI211:AK211"/>
    <mergeCell ref="C212:D212"/>
    <mergeCell ref="E212:H212"/>
    <mergeCell ref="I212:M212"/>
    <mergeCell ref="N212:O212"/>
    <mergeCell ref="P212:S212"/>
    <mergeCell ref="T212:U212"/>
    <mergeCell ref="V212:W212"/>
    <mergeCell ref="X212:Y212"/>
    <mergeCell ref="Z212:AC212"/>
    <mergeCell ref="AD212:AH212"/>
    <mergeCell ref="AI212:AK212"/>
    <mergeCell ref="C213:D213"/>
    <mergeCell ref="E213:H213"/>
    <mergeCell ref="I213:M213"/>
    <mergeCell ref="N213:O213"/>
    <mergeCell ref="P213:S213"/>
    <mergeCell ref="T213:U213"/>
    <mergeCell ref="V213:W213"/>
    <mergeCell ref="X213:Y213"/>
    <mergeCell ref="Z213:AC213"/>
    <mergeCell ref="AD213:AH213"/>
    <mergeCell ref="AI213:AK213"/>
    <mergeCell ref="C214:D214"/>
    <mergeCell ref="E214:H214"/>
    <mergeCell ref="I214:M214"/>
    <mergeCell ref="N214:O214"/>
    <mergeCell ref="P214:S214"/>
    <mergeCell ref="T214:U214"/>
    <mergeCell ref="V214:W214"/>
    <mergeCell ref="X214:Y214"/>
    <mergeCell ref="Z214:AC214"/>
    <mergeCell ref="AD214:AH214"/>
    <mergeCell ref="AI214:AK214"/>
    <mergeCell ref="C215:D215"/>
    <mergeCell ref="E215:H215"/>
    <mergeCell ref="I215:M215"/>
    <mergeCell ref="N215:O215"/>
    <mergeCell ref="P215:S215"/>
    <mergeCell ref="T215:U215"/>
    <mergeCell ref="V215:W215"/>
    <mergeCell ref="X215:Y215"/>
    <mergeCell ref="Z215:AC215"/>
    <mergeCell ref="AD215:AH215"/>
    <mergeCell ref="AI215:AK215"/>
    <mergeCell ref="V216:W216"/>
    <mergeCell ref="C217:D217"/>
    <mergeCell ref="E217:H217"/>
    <mergeCell ref="I217:M217"/>
    <mergeCell ref="N217:O217"/>
    <mergeCell ref="P217:S217"/>
    <mergeCell ref="T217:U217"/>
    <mergeCell ref="V217:W217"/>
    <mergeCell ref="X217:Y217"/>
    <mergeCell ref="Z217:AC217"/>
    <mergeCell ref="AD217:AH217"/>
    <mergeCell ref="AI217:AK217"/>
    <mergeCell ref="C218:D218"/>
    <mergeCell ref="E218:H218"/>
    <mergeCell ref="I218:M218"/>
    <mergeCell ref="N218:O218"/>
    <mergeCell ref="P218:S218"/>
    <mergeCell ref="T218:U218"/>
    <mergeCell ref="V218:W218"/>
    <mergeCell ref="X218:Y218"/>
    <mergeCell ref="Z218:AC218"/>
    <mergeCell ref="AD218:AH218"/>
    <mergeCell ref="AI218:AK218"/>
    <mergeCell ref="C219:D219"/>
    <mergeCell ref="E219:H219"/>
    <mergeCell ref="I219:M219"/>
    <mergeCell ref="N219:O219"/>
    <mergeCell ref="P219:S219"/>
    <mergeCell ref="T219:U219"/>
    <mergeCell ref="V219:W219"/>
    <mergeCell ref="X219:Y219"/>
    <mergeCell ref="Z219:AC219"/>
    <mergeCell ref="AD219:AH219"/>
    <mergeCell ref="AI219:AK219"/>
    <mergeCell ref="C220:D220"/>
    <mergeCell ref="E220:H220"/>
    <mergeCell ref="I220:M220"/>
    <mergeCell ref="N220:O220"/>
    <mergeCell ref="P220:S220"/>
    <mergeCell ref="T220:U220"/>
    <mergeCell ref="V220:W220"/>
    <mergeCell ref="X220:Y220"/>
    <mergeCell ref="Z220:AC220"/>
    <mergeCell ref="AD220:AH220"/>
    <mergeCell ref="AI220:AK220"/>
    <mergeCell ref="C221:D221"/>
    <mergeCell ref="E221:H221"/>
    <mergeCell ref="I221:M221"/>
    <mergeCell ref="N221:O221"/>
    <mergeCell ref="P221:S221"/>
    <mergeCell ref="T221:U221"/>
    <mergeCell ref="V221:W221"/>
    <mergeCell ref="X221:Y221"/>
    <mergeCell ref="Z221:AC221"/>
    <mergeCell ref="AD221:AH221"/>
    <mergeCell ref="AI221:AK221"/>
    <mergeCell ref="C222:D222"/>
    <mergeCell ref="E222:H222"/>
    <mergeCell ref="I222:M222"/>
    <mergeCell ref="N222:O222"/>
    <mergeCell ref="P222:S222"/>
    <mergeCell ref="T222:U222"/>
    <mergeCell ref="V222:W222"/>
    <mergeCell ref="X222:Y222"/>
    <mergeCell ref="Z222:AC222"/>
    <mergeCell ref="AD222:AH222"/>
    <mergeCell ref="AI222:AK222"/>
    <mergeCell ref="C223:D223"/>
    <mergeCell ref="E223:H223"/>
    <mergeCell ref="I223:M223"/>
    <mergeCell ref="N223:O223"/>
    <mergeCell ref="P223:S223"/>
    <mergeCell ref="T223:U223"/>
    <mergeCell ref="V223:W223"/>
    <mergeCell ref="X223:Y223"/>
    <mergeCell ref="Z223:AC223"/>
    <mergeCell ref="AD223:AH223"/>
    <mergeCell ref="AI223:AK223"/>
    <mergeCell ref="C224:D224"/>
    <mergeCell ref="E224:H224"/>
    <mergeCell ref="I224:M224"/>
    <mergeCell ref="N224:O224"/>
    <mergeCell ref="P224:S224"/>
    <mergeCell ref="T224:U224"/>
    <mergeCell ref="V224:W224"/>
    <mergeCell ref="X224:Y224"/>
    <mergeCell ref="Z224:AC224"/>
    <mergeCell ref="AD224:AH224"/>
    <mergeCell ref="AI224:AK224"/>
    <mergeCell ref="C225:D225"/>
    <mergeCell ref="E225:H225"/>
    <mergeCell ref="I225:M225"/>
    <mergeCell ref="N225:O225"/>
    <mergeCell ref="P225:S225"/>
    <mergeCell ref="T225:U225"/>
    <mergeCell ref="V225:W225"/>
    <mergeCell ref="X225:Y225"/>
    <mergeCell ref="Z225:AC225"/>
    <mergeCell ref="AD225:AH225"/>
    <mergeCell ref="AI225:AK225"/>
    <mergeCell ref="C226:D226"/>
    <mergeCell ref="E226:H226"/>
    <mergeCell ref="I226:M226"/>
    <mergeCell ref="N226:O226"/>
    <mergeCell ref="P226:S226"/>
    <mergeCell ref="T226:U226"/>
    <mergeCell ref="V226:W226"/>
    <mergeCell ref="X226:Y226"/>
    <mergeCell ref="Z226:AC226"/>
    <mergeCell ref="AD226:AH226"/>
    <mergeCell ref="AI226:AK226"/>
    <mergeCell ref="C227:D227"/>
    <mergeCell ref="E227:H227"/>
    <mergeCell ref="I227:M227"/>
    <mergeCell ref="N227:O227"/>
    <mergeCell ref="P227:S227"/>
    <mergeCell ref="T227:U227"/>
    <mergeCell ref="V227:W227"/>
    <mergeCell ref="X227:Y227"/>
    <mergeCell ref="Z227:AC227"/>
    <mergeCell ref="AD227:AH227"/>
    <mergeCell ref="AI227:AK227"/>
    <mergeCell ref="C228:D228"/>
    <mergeCell ref="E228:H228"/>
    <mergeCell ref="I228:M228"/>
    <mergeCell ref="N228:O228"/>
    <mergeCell ref="P228:S228"/>
    <mergeCell ref="T228:U228"/>
    <mergeCell ref="V228:W228"/>
    <mergeCell ref="X228:Y228"/>
    <mergeCell ref="Z228:AC228"/>
    <mergeCell ref="AD228:AH228"/>
    <mergeCell ref="AI228:AK228"/>
    <mergeCell ref="C229:D229"/>
    <mergeCell ref="E229:H229"/>
    <mergeCell ref="I229:M229"/>
    <mergeCell ref="N229:O229"/>
    <mergeCell ref="P229:S229"/>
    <mergeCell ref="T229:U229"/>
    <mergeCell ref="V229:W229"/>
    <mergeCell ref="X229:Y229"/>
    <mergeCell ref="Z229:AC229"/>
    <mergeCell ref="AD229:AH229"/>
    <mergeCell ref="AI229:AK229"/>
    <mergeCell ref="C230:D230"/>
    <mergeCell ref="E230:H230"/>
    <mergeCell ref="I230:M230"/>
    <mergeCell ref="N230:O230"/>
    <mergeCell ref="P230:S230"/>
    <mergeCell ref="T230:U230"/>
    <mergeCell ref="V230:W230"/>
    <mergeCell ref="X230:Y230"/>
    <mergeCell ref="Z230:AC230"/>
    <mergeCell ref="AD230:AH230"/>
    <mergeCell ref="AI230:AK230"/>
    <mergeCell ref="C231:D231"/>
    <mergeCell ref="E231:H231"/>
    <mergeCell ref="I231:M231"/>
    <mergeCell ref="N231:O231"/>
    <mergeCell ref="P231:S231"/>
    <mergeCell ref="T231:U231"/>
    <mergeCell ref="V231:W231"/>
    <mergeCell ref="X231:Y231"/>
    <mergeCell ref="Z231:AC231"/>
    <mergeCell ref="AD231:AH231"/>
    <mergeCell ref="AI231:AK231"/>
    <mergeCell ref="C232:D232"/>
    <mergeCell ref="E232:H232"/>
    <mergeCell ref="I232:M232"/>
    <mergeCell ref="N232:O232"/>
    <mergeCell ref="P232:S232"/>
    <mergeCell ref="T232:U232"/>
    <mergeCell ref="V232:W232"/>
    <mergeCell ref="X232:Y232"/>
    <mergeCell ref="Z232:AC232"/>
    <mergeCell ref="AD232:AH232"/>
    <mergeCell ref="AI232:AK232"/>
    <mergeCell ref="C233:D233"/>
    <mergeCell ref="E233:H233"/>
    <mergeCell ref="I233:M233"/>
    <mergeCell ref="N233:O233"/>
    <mergeCell ref="P233:S233"/>
    <mergeCell ref="T233:U233"/>
    <mergeCell ref="V233:W233"/>
    <mergeCell ref="X233:Y233"/>
    <mergeCell ref="Z233:AC233"/>
    <mergeCell ref="AD233:AH233"/>
    <mergeCell ref="AI233:AK233"/>
    <mergeCell ref="C234:D234"/>
    <mergeCell ref="E234:H234"/>
    <mergeCell ref="I234:M234"/>
    <mergeCell ref="N234:O234"/>
    <mergeCell ref="P234:S234"/>
    <mergeCell ref="T234:U234"/>
    <mergeCell ref="V234:W234"/>
    <mergeCell ref="X234:Y234"/>
    <mergeCell ref="Z234:AC234"/>
    <mergeCell ref="AD234:AH234"/>
    <mergeCell ref="AI234:AK234"/>
    <mergeCell ref="C235:D235"/>
    <mergeCell ref="E235:H235"/>
    <mergeCell ref="I235:M235"/>
    <mergeCell ref="N235:O235"/>
    <mergeCell ref="P235:S235"/>
    <mergeCell ref="T235:U235"/>
    <mergeCell ref="V235:W235"/>
    <mergeCell ref="X235:Y235"/>
    <mergeCell ref="Z235:AC235"/>
    <mergeCell ref="AD235:AH235"/>
    <mergeCell ref="AI235:AK235"/>
    <mergeCell ref="C236:D236"/>
    <mergeCell ref="E236:H236"/>
    <mergeCell ref="I236:M236"/>
    <mergeCell ref="N236:O236"/>
    <mergeCell ref="P236:S236"/>
    <mergeCell ref="T236:U236"/>
    <mergeCell ref="V236:W236"/>
    <mergeCell ref="X236:Y236"/>
    <mergeCell ref="Z236:AC236"/>
    <mergeCell ref="AD236:AH236"/>
    <mergeCell ref="AI236:AK236"/>
    <mergeCell ref="C237:D237"/>
    <mergeCell ref="E237:H237"/>
    <mergeCell ref="I237:M237"/>
    <mergeCell ref="N237:O237"/>
    <mergeCell ref="P237:S237"/>
    <mergeCell ref="T237:U237"/>
    <mergeCell ref="V237:W237"/>
    <mergeCell ref="X237:Y237"/>
    <mergeCell ref="Z237:AC237"/>
    <mergeCell ref="AD237:AH237"/>
    <mergeCell ref="AI237:AK237"/>
    <mergeCell ref="C238:D238"/>
    <mergeCell ref="E238:H238"/>
    <mergeCell ref="I238:M238"/>
    <mergeCell ref="N238:O238"/>
    <mergeCell ref="P238:S238"/>
    <mergeCell ref="T238:U238"/>
    <mergeCell ref="V238:W238"/>
    <mergeCell ref="X238:Y238"/>
    <mergeCell ref="Z238:AC238"/>
    <mergeCell ref="AD238:AH238"/>
    <mergeCell ref="AI238:AK238"/>
    <mergeCell ref="C239:D239"/>
    <mergeCell ref="E239:H239"/>
    <mergeCell ref="I239:M239"/>
    <mergeCell ref="N239:O239"/>
    <mergeCell ref="P239:S239"/>
    <mergeCell ref="T239:U239"/>
    <mergeCell ref="V239:W239"/>
    <mergeCell ref="X239:Y239"/>
    <mergeCell ref="Z239:AC239"/>
    <mergeCell ref="AD239:AH239"/>
    <mergeCell ref="AI239:AK239"/>
    <mergeCell ref="C240:D240"/>
    <mergeCell ref="E240:H240"/>
    <mergeCell ref="I240:M240"/>
    <mergeCell ref="N240:O240"/>
    <mergeCell ref="P240:S240"/>
    <mergeCell ref="T240:U240"/>
    <mergeCell ref="V240:W240"/>
    <mergeCell ref="X240:Y240"/>
    <mergeCell ref="Z240:AC240"/>
    <mergeCell ref="AD240:AH240"/>
    <mergeCell ref="AI240:AK240"/>
    <mergeCell ref="C241:D241"/>
    <mergeCell ref="E241:H241"/>
    <mergeCell ref="I241:M241"/>
    <mergeCell ref="N241:O241"/>
    <mergeCell ref="P241:S241"/>
    <mergeCell ref="T241:U241"/>
    <mergeCell ref="V241:W241"/>
    <mergeCell ref="X241:Y241"/>
    <mergeCell ref="Z241:AC241"/>
    <mergeCell ref="AD241:AH241"/>
    <mergeCell ref="AI241:AK241"/>
    <mergeCell ref="C242:D242"/>
    <mergeCell ref="E242:H242"/>
    <mergeCell ref="I242:M242"/>
    <mergeCell ref="N242:O242"/>
    <mergeCell ref="P242:S242"/>
    <mergeCell ref="T242:U242"/>
    <mergeCell ref="V242:W242"/>
    <mergeCell ref="X242:Y242"/>
    <mergeCell ref="Z242:AC242"/>
    <mergeCell ref="AD242:AH242"/>
    <mergeCell ref="AI242:AK242"/>
    <mergeCell ref="C243:D243"/>
    <mergeCell ref="E243:H243"/>
    <mergeCell ref="I243:M243"/>
    <mergeCell ref="N243:O243"/>
    <mergeCell ref="P243:S243"/>
    <mergeCell ref="T243:U243"/>
    <mergeCell ref="V243:W243"/>
    <mergeCell ref="X243:Y243"/>
    <mergeCell ref="Z243:AC243"/>
    <mergeCell ref="AD243:AH243"/>
    <mergeCell ref="AI243:AK243"/>
    <mergeCell ref="C244:D244"/>
    <mergeCell ref="E244:H244"/>
    <mergeCell ref="I244:M244"/>
    <mergeCell ref="N244:O244"/>
    <mergeCell ref="P244:S244"/>
    <mergeCell ref="T244:U244"/>
    <mergeCell ref="V244:W244"/>
    <mergeCell ref="X244:Y244"/>
    <mergeCell ref="Z244:AC244"/>
    <mergeCell ref="AD244:AH244"/>
    <mergeCell ref="AI244:AK244"/>
    <mergeCell ref="C245:D245"/>
    <mergeCell ref="E245:H245"/>
    <mergeCell ref="I245:M245"/>
    <mergeCell ref="N245:O245"/>
    <mergeCell ref="P245:S245"/>
    <mergeCell ref="T245:U245"/>
    <mergeCell ref="V245:W245"/>
    <mergeCell ref="X245:Y245"/>
    <mergeCell ref="Z245:AC245"/>
    <mergeCell ref="AD245:AH245"/>
    <mergeCell ref="AI245:AK245"/>
    <mergeCell ref="C246:D246"/>
    <mergeCell ref="E246:H246"/>
    <mergeCell ref="I246:M246"/>
    <mergeCell ref="N246:O246"/>
    <mergeCell ref="P246:S246"/>
    <mergeCell ref="T246:U246"/>
    <mergeCell ref="V246:W246"/>
    <mergeCell ref="X246:Y246"/>
    <mergeCell ref="Z246:AC246"/>
    <mergeCell ref="AD246:AH246"/>
    <mergeCell ref="AI246:AK246"/>
    <mergeCell ref="C247:D247"/>
    <mergeCell ref="E247:H247"/>
    <mergeCell ref="I247:M247"/>
    <mergeCell ref="N247:O247"/>
    <mergeCell ref="P247:S247"/>
    <mergeCell ref="T247:U247"/>
    <mergeCell ref="V247:W247"/>
    <mergeCell ref="X247:Y247"/>
    <mergeCell ref="Z247:AC247"/>
    <mergeCell ref="AD247:AH247"/>
    <mergeCell ref="AI247:AK247"/>
    <mergeCell ref="C248:D248"/>
    <mergeCell ref="E248:H248"/>
    <mergeCell ref="I248:M248"/>
    <mergeCell ref="N248:O248"/>
    <mergeCell ref="P248:S248"/>
    <mergeCell ref="T248:U248"/>
    <mergeCell ref="V248:W248"/>
    <mergeCell ref="X248:Y248"/>
    <mergeCell ref="Z248:AC248"/>
    <mergeCell ref="AD248:AH248"/>
    <mergeCell ref="AI248:AK248"/>
    <mergeCell ref="C249:D249"/>
    <mergeCell ref="E249:H249"/>
    <mergeCell ref="I249:M249"/>
    <mergeCell ref="N249:O249"/>
    <mergeCell ref="P249:S249"/>
    <mergeCell ref="T249:U249"/>
    <mergeCell ref="V249:W249"/>
    <mergeCell ref="X249:Y249"/>
    <mergeCell ref="Z249:AC249"/>
    <mergeCell ref="AD249:AH249"/>
    <mergeCell ref="AI249:AK249"/>
    <mergeCell ref="C250:D250"/>
    <mergeCell ref="E250:H250"/>
    <mergeCell ref="I250:M250"/>
    <mergeCell ref="N250:O250"/>
    <mergeCell ref="P250:S250"/>
    <mergeCell ref="T250:U250"/>
    <mergeCell ref="V250:W250"/>
    <mergeCell ref="X250:Y250"/>
    <mergeCell ref="Z250:AC250"/>
    <mergeCell ref="AD250:AH250"/>
    <mergeCell ref="AI250:AK250"/>
    <mergeCell ref="C251:D251"/>
    <mergeCell ref="E251:H251"/>
    <mergeCell ref="I251:M251"/>
    <mergeCell ref="N251:O251"/>
    <mergeCell ref="P251:S251"/>
    <mergeCell ref="T251:U251"/>
    <mergeCell ref="V251:W251"/>
    <mergeCell ref="X251:Y251"/>
    <mergeCell ref="Z251:AC251"/>
    <mergeCell ref="AD251:AH251"/>
    <mergeCell ref="AI251:AK251"/>
    <mergeCell ref="C252:D252"/>
    <mergeCell ref="E252:H252"/>
    <mergeCell ref="I252:M252"/>
    <mergeCell ref="N252:O252"/>
    <mergeCell ref="P252:S252"/>
    <mergeCell ref="T252:U252"/>
    <mergeCell ref="V252:W252"/>
    <mergeCell ref="X252:Y252"/>
    <mergeCell ref="Z252:AC252"/>
    <mergeCell ref="AD252:AH252"/>
    <mergeCell ref="AI252:AK252"/>
    <mergeCell ref="C253:D253"/>
    <mergeCell ref="E253:H253"/>
    <mergeCell ref="I253:M253"/>
    <mergeCell ref="N253:O253"/>
    <mergeCell ref="P253:S253"/>
    <mergeCell ref="T253:U253"/>
    <mergeCell ref="V253:W253"/>
    <mergeCell ref="X253:Y253"/>
    <mergeCell ref="Z253:AC253"/>
    <mergeCell ref="AD253:AH253"/>
    <mergeCell ref="AI253:AK253"/>
    <mergeCell ref="C254:D254"/>
    <mergeCell ref="E254:H254"/>
    <mergeCell ref="I254:M254"/>
    <mergeCell ref="N254:O254"/>
    <mergeCell ref="P254:S254"/>
    <mergeCell ref="T254:U254"/>
    <mergeCell ref="V254:W254"/>
    <mergeCell ref="X254:Y254"/>
    <mergeCell ref="Z254:AC254"/>
    <mergeCell ref="AD254:AH254"/>
    <mergeCell ref="AI254:AK254"/>
    <mergeCell ref="C255:D255"/>
    <mergeCell ref="E255:H255"/>
    <mergeCell ref="I255:M255"/>
    <mergeCell ref="N255:O255"/>
    <mergeCell ref="P255:S255"/>
    <mergeCell ref="T255:U255"/>
    <mergeCell ref="V255:W255"/>
    <mergeCell ref="X255:Y255"/>
    <mergeCell ref="Z255:AC255"/>
    <mergeCell ref="AD255:AH255"/>
    <mergeCell ref="AI255:AK255"/>
    <mergeCell ref="C256:D256"/>
    <mergeCell ref="E256:H256"/>
    <mergeCell ref="I256:M256"/>
    <mergeCell ref="N256:O256"/>
    <mergeCell ref="P256:S256"/>
    <mergeCell ref="T256:U256"/>
    <mergeCell ref="V256:W256"/>
    <mergeCell ref="X256:Y256"/>
    <mergeCell ref="Z256:AC256"/>
    <mergeCell ref="AD256:AH256"/>
    <mergeCell ref="AI256:AK256"/>
    <mergeCell ref="V257:W257"/>
    <mergeCell ref="C258:D258"/>
    <mergeCell ref="E258:H258"/>
    <mergeCell ref="I258:M258"/>
    <mergeCell ref="N258:O258"/>
    <mergeCell ref="P258:S258"/>
    <mergeCell ref="T258:U258"/>
    <mergeCell ref="V258:W258"/>
    <mergeCell ref="X258:Y258"/>
    <mergeCell ref="Z258:AC258"/>
    <mergeCell ref="AD258:AH258"/>
    <mergeCell ref="AI258:AK258"/>
    <mergeCell ref="C259:D259"/>
    <mergeCell ref="E259:H259"/>
    <mergeCell ref="I259:M259"/>
    <mergeCell ref="N259:O259"/>
    <mergeCell ref="P259:S259"/>
    <mergeCell ref="T259:U259"/>
    <mergeCell ref="V259:W259"/>
    <mergeCell ref="X259:Y259"/>
    <mergeCell ref="Z259:AC259"/>
    <mergeCell ref="AD259:AH259"/>
    <mergeCell ref="AI259:AK259"/>
    <mergeCell ref="C260:D260"/>
    <mergeCell ref="E260:H260"/>
    <mergeCell ref="I260:M260"/>
    <mergeCell ref="N260:O260"/>
    <mergeCell ref="P260:S260"/>
    <mergeCell ref="T260:U260"/>
    <mergeCell ref="V260:W260"/>
    <mergeCell ref="X260:Y260"/>
    <mergeCell ref="Z260:AC260"/>
    <mergeCell ref="AD260:AH260"/>
    <mergeCell ref="AI260:AK260"/>
    <mergeCell ref="C261:D261"/>
    <mergeCell ref="E261:H261"/>
    <mergeCell ref="I261:M261"/>
    <mergeCell ref="N261:O261"/>
    <mergeCell ref="P261:S261"/>
    <mergeCell ref="T261:U261"/>
    <mergeCell ref="V261:W261"/>
    <mergeCell ref="X261:Y261"/>
    <mergeCell ref="Z261:AC261"/>
    <mergeCell ref="AD261:AH261"/>
    <mergeCell ref="AI261:AK261"/>
    <mergeCell ref="C262:D262"/>
    <mergeCell ref="E262:H262"/>
    <mergeCell ref="I262:M262"/>
    <mergeCell ref="N262:O262"/>
    <mergeCell ref="P262:S262"/>
    <mergeCell ref="T262:U262"/>
    <mergeCell ref="V262:W262"/>
    <mergeCell ref="X262:Y262"/>
    <mergeCell ref="Z262:AC262"/>
    <mergeCell ref="AD262:AH262"/>
    <mergeCell ref="AI262:AK262"/>
    <mergeCell ref="C263:D263"/>
    <mergeCell ref="E263:H263"/>
    <mergeCell ref="I263:M263"/>
    <mergeCell ref="N263:O263"/>
    <mergeCell ref="P263:S263"/>
    <mergeCell ref="T263:U263"/>
    <mergeCell ref="V263:W263"/>
    <mergeCell ref="X263:Y263"/>
    <mergeCell ref="Z263:AC263"/>
    <mergeCell ref="AD263:AH263"/>
    <mergeCell ref="AI263:AK263"/>
    <mergeCell ref="C264:D264"/>
    <mergeCell ref="E264:H264"/>
    <mergeCell ref="I264:M264"/>
    <mergeCell ref="N264:O264"/>
    <mergeCell ref="P264:S264"/>
    <mergeCell ref="T264:U264"/>
    <mergeCell ref="V264:W264"/>
    <mergeCell ref="X264:Y264"/>
    <mergeCell ref="Z264:AC264"/>
    <mergeCell ref="AD264:AH264"/>
    <mergeCell ref="AI264:AK264"/>
    <mergeCell ref="C265:D265"/>
    <mergeCell ref="E265:H265"/>
    <mergeCell ref="I265:M265"/>
    <mergeCell ref="N265:O265"/>
    <mergeCell ref="P265:S265"/>
    <mergeCell ref="T265:U265"/>
    <mergeCell ref="V265:W265"/>
    <mergeCell ref="X265:Y265"/>
    <mergeCell ref="Z265:AC265"/>
    <mergeCell ref="AD265:AH265"/>
    <mergeCell ref="AI265:AK265"/>
    <mergeCell ref="C266:D266"/>
    <mergeCell ref="E266:H266"/>
    <mergeCell ref="I266:M266"/>
    <mergeCell ref="N266:O266"/>
    <mergeCell ref="P266:S266"/>
    <mergeCell ref="T266:U266"/>
    <mergeCell ref="V266:W266"/>
    <mergeCell ref="X266:Y266"/>
    <mergeCell ref="Z266:AC266"/>
    <mergeCell ref="AD266:AH266"/>
    <mergeCell ref="AI266:AK266"/>
    <mergeCell ref="C267:D267"/>
    <mergeCell ref="E267:H267"/>
    <mergeCell ref="I267:M267"/>
    <mergeCell ref="N267:O267"/>
    <mergeCell ref="P267:S267"/>
    <mergeCell ref="T267:U267"/>
    <mergeCell ref="V267:W267"/>
    <mergeCell ref="X267:Y267"/>
    <mergeCell ref="Z267:AC267"/>
    <mergeCell ref="AD267:AH267"/>
    <mergeCell ref="AI267:AK267"/>
    <mergeCell ref="C268:D268"/>
    <mergeCell ref="E268:H268"/>
    <mergeCell ref="I268:M268"/>
    <mergeCell ref="N268:O268"/>
    <mergeCell ref="P268:S268"/>
    <mergeCell ref="T268:U268"/>
    <mergeCell ref="V268:W268"/>
    <mergeCell ref="X268:Y268"/>
    <mergeCell ref="Z268:AC268"/>
    <mergeCell ref="AD268:AH268"/>
    <mergeCell ref="AI268:AK268"/>
    <mergeCell ref="C269:D269"/>
    <mergeCell ref="E269:H269"/>
    <mergeCell ref="I269:M269"/>
    <mergeCell ref="N269:O269"/>
    <mergeCell ref="P269:S269"/>
    <mergeCell ref="T269:U269"/>
    <mergeCell ref="V269:W269"/>
    <mergeCell ref="X269:Y269"/>
    <mergeCell ref="Z269:AC269"/>
    <mergeCell ref="AD269:AH269"/>
    <mergeCell ref="AI269:AK269"/>
    <mergeCell ref="C270:D270"/>
    <mergeCell ref="E270:H270"/>
    <mergeCell ref="I270:M270"/>
    <mergeCell ref="N270:O270"/>
    <mergeCell ref="P270:S270"/>
    <mergeCell ref="T270:U270"/>
    <mergeCell ref="V270:W270"/>
    <mergeCell ref="X270:Y270"/>
    <mergeCell ref="Z270:AC270"/>
    <mergeCell ref="AD270:AH270"/>
    <mergeCell ref="AI270:AK270"/>
    <mergeCell ref="C271:D271"/>
    <mergeCell ref="E271:H271"/>
    <mergeCell ref="I271:M271"/>
    <mergeCell ref="N271:O271"/>
    <mergeCell ref="P271:S271"/>
    <mergeCell ref="T271:U271"/>
    <mergeCell ref="V271:W271"/>
    <mergeCell ref="X271:Y271"/>
    <mergeCell ref="Z271:AC271"/>
    <mergeCell ref="AD271:AH271"/>
    <mergeCell ref="AI271:AK271"/>
    <mergeCell ref="C272:D272"/>
    <mergeCell ref="E272:H272"/>
    <mergeCell ref="I272:M272"/>
    <mergeCell ref="N272:O272"/>
    <mergeCell ref="P272:S272"/>
    <mergeCell ref="T272:U272"/>
    <mergeCell ref="V272:W272"/>
    <mergeCell ref="X272:Y272"/>
    <mergeCell ref="Z272:AC272"/>
    <mergeCell ref="AD272:AH272"/>
    <mergeCell ref="AI272:AK272"/>
    <mergeCell ref="C273:D273"/>
    <mergeCell ref="E273:H273"/>
    <mergeCell ref="I273:M273"/>
    <mergeCell ref="N273:O273"/>
    <mergeCell ref="P273:S273"/>
    <mergeCell ref="T273:U273"/>
    <mergeCell ref="V273:W273"/>
    <mergeCell ref="X273:Y273"/>
    <mergeCell ref="Z273:AC273"/>
    <mergeCell ref="AD273:AH273"/>
    <mergeCell ref="AI273:AK273"/>
    <mergeCell ref="C274:D274"/>
    <mergeCell ref="E274:H274"/>
    <mergeCell ref="I274:M274"/>
    <mergeCell ref="N274:O274"/>
    <mergeCell ref="P274:S274"/>
    <mergeCell ref="T274:U274"/>
    <mergeCell ref="V274:W274"/>
    <mergeCell ref="X274:Y274"/>
    <mergeCell ref="Z274:AC274"/>
    <mergeCell ref="AD274:AH274"/>
    <mergeCell ref="AI274:AK274"/>
    <mergeCell ref="C275:D275"/>
    <mergeCell ref="E275:H275"/>
    <mergeCell ref="I275:M275"/>
    <mergeCell ref="N275:O275"/>
    <mergeCell ref="P275:S275"/>
    <mergeCell ref="T275:U275"/>
    <mergeCell ref="V275:W275"/>
    <mergeCell ref="X275:Y275"/>
    <mergeCell ref="Z275:AC275"/>
    <mergeCell ref="AD275:AH275"/>
    <mergeCell ref="AI275:AK275"/>
    <mergeCell ref="C276:D276"/>
    <mergeCell ref="E276:H276"/>
    <mergeCell ref="I276:M276"/>
    <mergeCell ref="N276:O276"/>
    <mergeCell ref="P276:S276"/>
    <mergeCell ref="T276:U276"/>
    <mergeCell ref="V276:W276"/>
    <mergeCell ref="X276:Y276"/>
    <mergeCell ref="Z276:AC276"/>
    <mergeCell ref="AD276:AH276"/>
    <mergeCell ref="AI276:AK276"/>
    <mergeCell ref="C277:D277"/>
    <mergeCell ref="E277:H277"/>
    <mergeCell ref="I277:M277"/>
    <mergeCell ref="N277:O277"/>
    <mergeCell ref="P277:S277"/>
    <mergeCell ref="T277:U277"/>
    <mergeCell ref="V277:W277"/>
    <mergeCell ref="X277:Y277"/>
    <mergeCell ref="Z277:AC277"/>
    <mergeCell ref="AD277:AH277"/>
    <mergeCell ref="AI277:AK277"/>
    <mergeCell ref="C278:D278"/>
    <mergeCell ref="E278:H278"/>
    <mergeCell ref="I278:M278"/>
    <mergeCell ref="N278:O278"/>
    <mergeCell ref="P278:S278"/>
    <mergeCell ref="T278:U278"/>
    <mergeCell ref="V278:W278"/>
    <mergeCell ref="X278:Y278"/>
    <mergeCell ref="Z278:AC278"/>
    <mergeCell ref="AD278:AH278"/>
    <mergeCell ref="AI278:AK278"/>
    <mergeCell ref="C279:D279"/>
    <mergeCell ref="E279:H279"/>
    <mergeCell ref="I279:M279"/>
    <mergeCell ref="N279:O279"/>
    <mergeCell ref="P279:S279"/>
    <mergeCell ref="T279:U279"/>
    <mergeCell ref="V279:W279"/>
    <mergeCell ref="X279:Y279"/>
    <mergeCell ref="Z279:AC279"/>
    <mergeCell ref="AD279:AH279"/>
    <mergeCell ref="AI279:AK279"/>
    <mergeCell ref="C280:D280"/>
    <mergeCell ref="E280:H280"/>
    <mergeCell ref="I280:M280"/>
    <mergeCell ref="N280:O280"/>
    <mergeCell ref="P280:S280"/>
    <mergeCell ref="T280:U280"/>
    <mergeCell ref="V280:W280"/>
    <mergeCell ref="X280:Y280"/>
    <mergeCell ref="Z280:AC280"/>
    <mergeCell ref="AD280:AH280"/>
    <mergeCell ref="AI280:AK280"/>
    <mergeCell ref="C281:D281"/>
    <mergeCell ref="E281:H281"/>
    <mergeCell ref="I281:M281"/>
    <mergeCell ref="N281:O281"/>
    <mergeCell ref="P281:S281"/>
    <mergeCell ref="T281:U281"/>
    <mergeCell ref="V281:W281"/>
    <mergeCell ref="X281:Y281"/>
    <mergeCell ref="Z281:AC281"/>
    <mergeCell ref="AD281:AH281"/>
    <mergeCell ref="AI281:AK281"/>
    <mergeCell ref="C282:D282"/>
    <mergeCell ref="E282:H282"/>
    <mergeCell ref="I282:M282"/>
    <mergeCell ref="N282:O282"/>
    <mergeCell ref="P282:S282"/>
    <mergeCell ref="T282:U282"/>
    <mergeCell ref="V282:W282"/>
    <mergeCell ref="X282:Y282"/>
    <mergeCell ref="Z282:AC282"/>
    <mergeCell ref="AD282:AH282"/>
    <mergeCell ref="AI282:AK282"/>
    <mergeCell ref="C283:D283"/>
    <mergeCell ref="E283:H283"/>
    <mergeCell ref="I283:M283"/>
    <mergeCell ref="N283:O283"/>
    <mergeCell ref="P283:S283"/>
    <mergeCell ref="T283:U283"/>
    <mergeCell ref="V283:W283"/>
    <mergeCell ref="X283:Y283"/>
    <mergeCell ref="Z283:AC283"/>
    <mergeCell ref="AD283:AH283"/>
    <mergeCell ref="AI283:AK283"/>
    <mergeCell ref="C284:D284"/>
    <mergeCell ref="E284:H284"/>
    <mergeCell ref="I284:M284"/>
    <mergeCell ref="N284:O284"/>
    <mergeCell ref="P284:S284"/>
    <mergeCell ref="T284:U284"/>
    <mergeCell ref="V284:W284"/>
    <mergeCell ref="X284:Y284"/>
    <mergeCell ref="Z284:AC284"/>
    <mergeCell ref="AD284:AH284"/>
    <mergeCell ref="AI284:AK284"/>
    <mergeCell ref="C285:D285"/>
    <mergeCell ref="E285:H285"/>
    <mergeCell ref="I285:M285"/>
    <mergeCell ref="N285:O285"/>
    <mergeCell ref="P285:S285"/>
    <mergeCell ref="T285:U285"/>
    <mergeCell ref="V285:W285"/>
    <mergeCell ref="X285:Y285"/>
    <mergeCell ref="Z285:AC285"/>
    <mergeCell ref="AD285:AH285"/>
    <mergeCell ref="AI285:AK285"/>
    <mergeCell ref="C286:D286"/>
    <mergeCell ref="E286:H286"/>
    <mergeCell ref="I286:M286"/>
    <mergeCell ref="N286:O286"/>
    <mergeCell ref="P286:S286"/>
    <mergeCell ref="T286:U286"/>
    <mergeCell ref="V286:W286"/>
    <mergeCell ref="X286:Y286"/>
    <mergeCell ref="Z286:AC286"/>
    <mergeCell ref="AD286:AH286"/>
    <mergeCell ref="AI286:AK286"/>
    <mergeCell ref="C287:D287"/>
    <mergeCell ref="E287:H287"/>
    <mergeCell ref="I287:M287"/>
    <mergeCell ref="N287:O287"/>
    <mergeCell ref="P287:S287"/>
    <mergeCell ref="T287:U287"/>
    <mergeCell ref="V287:W287"/>
    <mergeCell ref="X287:Y287"/>
    <mergeCell ref="Z287:AC287"/>
    <mergeCell ref="AD287:AH287"/>
    <mergeCell ref="AI287:AK287"/>
    <mergeCell ref="C288:D288"/>
    <mergeCell ref="E288:H288"/>
    <mergeCell ref="I288:M288"/>
    <mergeCell ref="N288:O288"/>
    <mergeCell ref="P288:S288"/>
    <mergeCell ref="T288:U288"/>
    <mergeCell ref="V288:W288"/>
    <mergeCell ref="X288:Y288"/>
    <mergeCell ref="Z288:AC288"/>
    <mergeCell ref="AD288:AH288"/>
    <mergeCell ref="AI288:AK288"/>
    <mergeCell ref="C289:D289"/>
    <mergeCell ref="E289:H289"/>
    <mergeCell ref="I289:M289"/>
    <mergeCell ref="N289:O289"/>
    <mergeCell ref="P289:S289"/>
    <mergeCell ref="T289:U289"/>
    <mergeCell ref="V289:W289"/>
    <mergeCell ref="X289:Y289"/>
    <mergeCell ref="Z289:AC289"/>
    <mergeCell ref="AD289:AH289"/>
    <mergeCell ref="AI289:AK289"/>
    <mergeCell ref="C290:D290"/>
    <mergeCell ref="E290:H290"/>
    <mergeCell ref="I290:M290"/>
    <mergeCell ref="N290:O290"/>
    <mergeCell ref="P290:S290"/>
    <mergeCell ref="T290:U290"/>
    <mergeCell ref="V290:W290"/>
    <mergeCell ref="X290:Y290"/>
    <mergeCell ref="Z290:AC290"/>
    <mergeCell ref="AD290:AH290"/>
    <mergeCell ref="AI290:AK290"/>
    <mergeCell ref="C291:D291"/>
    <mergeCell ref="E291:H291"/>
    <mergeCell ref="I291:M291"/>
    <mergeCell ref="N291:O291"/>
    <mergeCell ref="P291:S291"/>
    <mergeCell ref="T291:U291"/>
    <mergeCell ref="V291:W291"/>
    <mergeCell ref="X291:Y291"/>
    <mergeCell ref="Z291:AC291"/>
    <mergeCell ref="AD291:AH291"/>
    <mergeCell ref="AI291:AK291"/>
    <mergeCell ref="C292:D292"/>
    <mergeCell ref="E292:H292"/>
    <mergeCell ref="I292:M292"/>
    <mergeCell ref="N292:O292"/>
    <mergeCell ref="P292:S292"/>
    <mergeCell ref="T292:U292"/>
    <mergeCell ref="V292:W292"/>
    <mergeCell ref="X292:Y292"/>
    <mergeCell ref="Z292:AC292"/>
    <mergeCell ref="AD292:AH292"/>
    <mergeCell ref="AI292:AK292"/>
    <mergeCell ref="C293:D293"/>
    <mergeCell ref="E293:H293"/>
    <mergeCell ref="I293:M293"/>
    <mergeCell ref="N293:O293"/>
    <mergeCell ref="P293:S293"/>
    <mergeCell ref="T293:U293"/>
    <mergeCell ref="V293:W293"/>
    <mergeCell ref="X293:Y293"/>
    <mergeCell ref="Z293:AC293"/>
    <mergeCell ref="AD293:AH293"/>
    <mergeCell ref="AI293:AK293"/>
    <mergeCell ref="C294:D294"/>
    <mergeCell ref="E294:H294"/>
    <mergeCell ref="I294:M294"/>
    <mergeCell ref="N294:O294"/>
    <mergeCell ref="P294:S294"/>
    <mergeCell ref="T294:U294"/>
    <mergeCell ref="V294:W294"/>
    <mergeCell ref="X294:Y294"/>
    <mergeCell ref="Z294:AC294"/>
    <mergeCell ref="AD294:AH294"/>
    <mergeCell ref="AI294:AK294"/>
    <mergeCell ref="C295:D295"/>
    <mergeCell ref="E295:H295"/>
    <mergeCell ref="I295:M295"/>
    <mergeCell ref="N295:O295"/>
    <mergeCell ref="P295:S295"/>
    <mergeCell ref="T295:U295"/>
    <mergeCell ref="V295:W295"/>
    <mergeCell ref="X295:Y295"/>
    <mergeCell ref="Z295:AC295"/>
    <mergeCell ref="AD295:AH295"/>
    <mergeCell ref="AI295:AK295"/>
    <mergeCell ref="C296:D296"/>
    <mergeCell ref="E296:H296"/>
    <mergeCell ref="I296:M296"/>
    <mergeCell ref="N296:O296"/>
    <mergeCell ref="P296:S296"/>
    <mergeCell ref="T296:U296"/>
    <mergeCell ref="V296:W296"/>
    <mergeCell ref="X296:Y296"/>
    <mergeCell ref="Z296:AC296"/>
    <mergeCell ref="AD296:AH296"/>
    <mergeCell ref="AI296:AK296"/>
    <mergeCell ref="C297:D297"/>
    <mergeCell ref="E297:H297"/>
    <mergeCell ref="I297:M297"/>
    <mergeCell ref="N297:O297"/>
    <mergeCell ref="P297:S297"/>
    <mergeCell ref="T297:U297"/>
    <mergeCell ref="V297:W297"/>
    <mergeCell ref="X297:Y297"/>
    <mergeCell ref="Z297:AC297"/>
    <mergeCell ref="AD297:AH297"/>
    <mergeCell ref="AI297:AK297"/>
    <mergeCell ref="V298:W298"/>
    <mergeCell ref="C299:D299"/>
    <mergeCell ref="E299:H299"/>
    <mergeCell ref="I299:M299"/>
    <mergeCell ref="N299:O299"/>
    <mergeCell ref="P299:S299"/>
    <mergeCell ref="T299:U299"/>
    <mergeCell ref="V299:W299"/>
    <mergeCell ref="X299:Y299"/>
    <mergeCell ref="Z299:AC299"/>
    <mergeCell ref="AD299:AH299"/>
    <mergeCell ref="AI299:AK299"/>
    <mergeCell ref="C300:D300"/>
    <mergeCell ref="E300:H300"/>
    <mergeCell ref="I300:M300"/>
    <mergeCell ref="N300:O300"/>
    <mergeCell ref="P300:S300"/>
    <mergeCell ref="T300:U300"/>
    <mergeCell ref="V300:W300"/>
    <mergeCell ref="X300:Y300"/>
    <mergeCell ref="Z300:AC300"/>
    <mergeCell ref="AD300:AH300"/>
    <mergeCell ref="AI300:AK300"/>
    <mergeCell ref="C301:D301"/>
    <mergeCell ref="E301:H301"/>
    <mergeCell ref="I301:M301"/>
    <mergeCell ref="N301:O301"/>
    <mergeCell ref="P301:S301"/>
    <mergeCell ref="T301:U301"/>
    <mergeCell ref="V301:W301"/>
    <mergeCell ref="X301:Y301"/>
    <mergeCell ref="Z301:AC301"/>
    <mergeCell ref="AD301:AH301"/>
    <mergeCell ref="AI301:AK301"/>
    <mergeCell ref="C302:D302"/>
    <mergeCell ref="E302:H302"/>
    <mergeCell ref="I302:M302"/>
    <mergeCell ref="N302:O302"/>
    <mergeCell ref="P302:S302"/>
    <mergeCell ref="T302:U302"/>
    <mergeCell ref="V302:W302"/>
    <mergeCell ref="X302:Y302"/>
    <mergeCell ref="Z302:AC302"/>
    <mergeCell ref="AD302:AH302"/>
    <mergeCell ref="AI302:AK302"/>
    <mergeCell ref="C303:D303"/>
    <mergeCell ref="E303:H303"/>
    <mergeCell ref="I303:M303"/>
    <mergeCell ref="N303:O303"/>
    <mergeCell ref="P303:S303"/>
    <mergeCell ref="T303:U303"/>
    <mergeCell ref="V303:W303"/>
    <mergeCell ref="X303:Y303"/>
    <mergeCell ref="Z303:AC303"/>
    <mergeCell ref="AD303:AH303"/>
    <mergeCell ref="AI303:AK303"/>
    <mergeCell ref="C304:D304"/>
    <mergeCell ref="E304:H304"/>
    <mergeCell ref="I304:M304"/>
    <mergeCell ref="N304:O304"/>
    <mergeCell ref="P304:S304"/>
    <mergeCell ref="T304:U304"/>
    <mergeCell ref="V304:W304"/>
    <mergeCell ref="X304:Y304"/>
    <mergeCell ref="Z304:AC304"/>
    <mergeCell ref="AD304:AH304"/>
    <mergeCell ref="AI304:AK304"/>
    <mergeCell ref="C305:D305"/>
    <mergeCell ref="E305:H305"/>
    <mergeCell ref="I305:M305"/>
    <mergeCell ref="N305:O305"/>
    <mergeCell ref="P305:S305"/>
    <mergeCell ref="T305:U305"/>
    <mergeCell ref="V305:W305"/>
    <mergeCell ref="X305:Y305"/>
    <mergeCell ref="Z305:AC305"/>
    <mergeCell ref="AD305:AH305"/>
    <mergeCell ref="AI305:AK305"/>
    <mergeCell ref="C306:D306"/>
    <mergeCell ref="E306:H306"/>
    <mergeCell ref="I306:M306"/>
    <mergeCell ref="N306:O306"/>
    <mergeCell ref="P306:S306"/>
    <mergeCell ref="T306:U306"/>
    <mergeCell ref="V306:W306"/>
    <mergeCell ref="X306:Y306"/>
    <mergeCell ref="Z306:AC306"/>
    <mergeCell ref="AD306:AH306"/>
    <mergeCell ref="AI306:AK306"/>
    <mergeCell ref="C307:D307"/>
    <mergeCell ref="E307:H307"/>
    <mergeCell ref="I307:M307"/>
    <mergeCell ref="N307:O307"/>
    <mergeCell ref="P307:S307"/>
    <mergeCell ref="T307:U307"/>
    <mergeCell ref="V307:W307"/>
    <mergeCell ref="X307:Y307"/>
    <mergeCell ref="Z307:AC307"/>
    <mergeCell ref="AD307:AH307"/>
    <mergeCell ref="AI307:AK307"/>
    <mergeCell ref="C308:D308"/>
    <mergeCell ref="E308:H308"/>
    <mergeCell ref="I308:M308"/>
    <mergeCell ref="N308:O308"/>
    <mergeCell ref="P308:S308"/>
    <mergeCell ref="T308:U308"/>
    <mergeCell ref="V308:W308"/>
    <mergeCell ref="X308:Y308"/>
    <mergeCell ref="Z308:AC308"/>
    <mergeCell ref="AD308:AH308"/>
    <mergeCell ref="AI308:AK308"/>
    <mergeCell ref="C309:D309"/>
    <mergeCell ref="E309:H309"/>
    <mergeCell ref="I309:M309"/>
    <mergeCell ref="N309:O309"/>
    <mergeCell ref="P309:S309"/>
    <mergeCell ref="T309:U309"/>
    <mergeCell ref="V309:W309"/>
    <mergeCell ref="X309:Y309"/>
    <mergeCell ref="Z309:AC309"/>
    <mergeCell ref="AD309:AH309"/>
    <mergeCell ref="AI309:AK309"/>
    <mergeCell ref="C310:D310"/>
    <mergeCell ref="E310:H310"/>
    <mergeCell ref="I310:M310"/>
    <mergeCell ref="N310:O310"/>
    <mergeCell ref="P310:S310"/>
    <mergeCell ref="T310:U310"/>
    <mergeCell ref="V310:W310"/>
    <mergeCell ref="X310:Y310"/>
    <mergeCell ref="Z310:AC310"/>
    <mergeCell ref="AD310:AH310"/>
    <mergeCell ref="AI310:AK310"/>
    <mergeCell ref="C311:D311"/>
    <mergeCell ref="E311:H311"/>
    <mergeCell ref="I311:M311"/>
    <mergeCell ref="N311:O311"/>
    <mergeCell ref="P311:S311"/>
    <mergeCell ref="T311:U311"/>
    <mergeCell ref="V311:W311"/>
    <mergeCell ref="X311:Y311"/>
    <mergeCell ref="Z311:AC311"/>
    <mergeCell ref="AD311:AH311"/>
    <mergeCell ref="AI311:AK311"/>
    <mergeCell ref="C312:D312"/>
    <mergeCell ref="E312:H312"/>
    <mergeCell ref="I312:M312"/>
    <mergeCell ref="N312:O312"/>
    <mergeCell ref="P312:S312"/>
    <mergeCell ref="T312:U312"/>
    <mergeCell ref="V312:W312"/>
    <mergeCell ref="X312:Y312"/>
    <mergeCell ref="Z312:AC312"/>
    <mergeCell ref="AD312:AH312"/>
    <mergeCell ref="AI312:AK312"/>
    <mergeCell ref="C313:D313"/>
    <mergeCell ref="E313:H313"/>
    <mergeCell ref="I313:M313"/>
    <mergeCell ref="N313:O313"/>
    <mergeCell ref="P313:S313"/>
    <mergeCell ref="T313:U313"/>
    <mergeCell ref="V313:W313"/>
    <mergeCell ref="X313:Y313"/>
    <mergeCell ref="Z313:AC313"/>
    <mergeCell ref="AD313:AH313"/>
    <mergeCell ref="AI313:AK313"/>
    <mergeCell ref="C314:D314"/>
    <mergeCell ref="E314:H314"/>
    <mergeCell ref="I314:M314"/>
    <mergeCell ref="N314:O314"/>
    <mergeCell ref="P314:S314"/>
    <mergeCell ref="T314:U314"/>
    <mergeCell ref="V314:W314"/>
    <mergeCell ref="X314:Y314"/>
    <mergeCell ref="Z314:AC314"/>
    <mergeCell ref="AD314:AH314"/>
    <mergeCell ref="AI314:AK314"/>
    <mergeCell ref="C315:D315"/>
    <mergeCell ref="E315:H315"/>
    <mergeCell ref="I315:M315"/>
    <mergeCell ref="N315:O315"/>
    <mergeCell ref="P315:S315"/>
    <mergeCell ref="T315:U315"/>
    <mergeCell ref="V315:W315"/>
    <mergeCell ref="X315:Y315"/>
    <mergeCell ref="Z315:AC315"/>
    <mergeCell ref="AD315:AH315"/>
    <mergeCell ref="AI315:AK315"/>
    <mergeCell ref="C316:D316"/>
    <mergeCell ref="E316:H316"/>
    <mergeCell ref="I316:M316"/>
    <mergeCell ref="N316:O316"/>
    <mergeCell ref="P316:S316"/>
    <mergeCell ref="T316:U316"/>
    <mergeCell ref="V316:W316"/>
    <mergeCell ref="X316:Y316"/>
    <mergeCell ref="Z316:AC316"/>
    <mergeCell ref="AD316:AH316"/>
    <mergeCell ref="AI316:AK316"/>
    <mergeCell ref="C317:D317"/>
    <mergeCell ref="E317:H317"/>
    <mergeCell ref="I317:M317"/>
    <mergeCell ref="N317:O317"/>
    <mergeCell ref="P317:S317"/>
    <mergeCell ref="T317:U317"/>
    <mergeCell ref="V317:W317"/>
    <mergeCell ref="X317:Y317"/>
    <mergeCell ref="Z317:AC317"/>
    <mergeCell ref="AD317:AH317"/>
    <mergeCell ref="AI317:AK317"/>
    <mergeCell ref="C318:D318"/>
    <mergeCell ref="E318:H318"/>
    <mergeCell ref="I318:M318"/>
    <mergeCell ref="N318:O318"/>
    <mergeCell ref="P318:S318"/>
    <mergeCell ref="T318:U318"/>
    <mergeCell ref="V318:W318"/>
    <mergeCell ref="X318:Y318"/>
    <mergeCell ref="Z318:AC318"/>
    <mergeCell ref="AD318:AH318"/>
    <mergeCell ref="AI318:AK318"/>
    <mergeCell ref="C319:D319"/>
    <mergeCell ref="E319:H319"/>
    <mergeCell ref="I319:M319"/>
    <mergeCell ref="N319:O319"/>
    <mergeCell ref="P319:S319"/>
    <mergeCell ref="T319:U319"/>
    <mergeCell ref="V319:W319"/>
    <mergeCell ref="X319:Y319"/>
    <mergeCell ref="Z319:AC319"/>
    <mergeCell ref="AD319:AH319"/>
    <mergeCell ref="AI319:AK319"/>
    <mergeCell ref="C320:D320"/>
    <mergeCell ref="E320:H320"/>
    <mergeCell ref="I320:M320"/>
    <mergeCell ref="N320:O320"/>
    <mergeCell ref="P320:S320"/>
    <mergeCell ref="T320:U320"/>
    <mergeCell ref="V320:W320"/>
    <mergeCell ref="X320:Y320"/>
    <mergeCell ref="Z320:AC320"/>
    <mergeCell ref="AD320:AH320"/>
    <mergeCell ref="AI320:AK320"/>
    <mergeCell ref="C321:D321"/>
    <mergeCell ref="E321:H321"/>
    <mergeCell ref="I321:M321"/>
    <mergeCell ref="N321:O321"/>
    <mergeCell ref="P321:S321"/>
    <mergeCell ref="T321:U321"/>
    <mergeCell ref="V321:W321"/>
    <mergeCell ref="X321:Y321"/>
    <mergeCell ref="Z321:AC321"/>
    <mergeCell ref="AD321:AH321"/>
    <mergeCell ref="AI321:AK321"/>
    <mergeCell ref="C322:D322"/>
    <mergeCell ref="E322:H322"/>
    <mergeCell ref="I322:M322"/>
    <mergeCell ref="N322:O322"/>
    <mergeCell ref="P322:S322"/>
    <mergeCell ref="T322:U322"/>
    <mergeCell ref="V322:W322"/>
    <mergeCell ref="X322:Y322"/>
    <mergeCell ref="Z322:AC322"/>
    <mergeCell ref="AD322:AH322"/>
    <mergeCell ref="AI322:AK322"/>
    <mergeCell ref="C323:D323"/>
    <mergeCell ref="E323:H323"/>
    <mergeCell ref="I323:M323"/>
    <mergeCell ref="N323:O323"/>
    <mergeCell ref="P323:S323"/>
    <mergeCell ref="T323:U323"/>
    <mergeCell ref="V323:W323"/>
    <mergeCell ref="X323:Y323"/>
    <mergeCell ref="Z323:AC323"/>
    <mergeCell ref="AD323:AH323"/>
    <mergeCell ref="AI323:AK323"/>
    <mergeCell ref="C324:D324"/>
    <mergeCell ref="E324:H324"/>
    <mergeCell ref="I324:M324"/>
    <mergeCell ref="N324:O324"/>
    <mergeCell ref="P324:S324"/>
    <mergeCell ref="T324:U324"/>
    <mergeCell ref="V324:W324"/>
    <mergeCell ref="X324:Y324"/>
    <mergeCell ref="Z324:AC324"/>
    <mergeCell ref="AD324:AH324"/>
    <mergeCell ref="AI324:AK324"/>
    <mergeCell ref="C325:D325"/>
    <mergeCell ref="E325:H325"/>
    <mergeCell ref="I325:M325"/>
    <mergeCell ref="N325:O325"/>
    <mergeCell ref="P325:S325"/>
    <mergeCell ref="T325:U325"/>
    <mergeCell ref="V325:W325"/>
    <mergeCell ref="X325:Y325"/>
    <mergeCell ref="Z325:AC325"/>
    <mergeCell ref="AD325:AH325"/>
    <mergeCell ref="AI325:AK325"/>
    <mergeCell ref="C326:D326"/>
    <mergeCell ref="E326:H326"/>
    <mergeCell ref="I326:M326"/>
    <mergeCell ref="N326:O326"/>
    <mergeCell ref="P326:S326"/>
    <mergeCell ref="T326:U326"/>
    <mergeCell ref="V326:W326"/>
    <mergeCell ref="X326:Y326"/>
    <mergeCell ref="Z326:AC326"/>
    <mergeCell ref="AD326:AH326"/>
    <mergeCell ref="AI326:AK326"/>
    <mergeCell ref="C327:D327"/>
    <mergeCell ref="E327:H327"/>
    <mergeCell ref="I327:M327"/>
    <mergeCell ref="N327:O327"/>
    <mergeCell ref="P327:S327"/>
    <mergeCell ref="T327:U327"/>
    <mergeCell ref="V327:W327"/>
    <mergeCell ref="X327:Y327"/>
    <mergeCell ref="Z327:AC327"/>
    <mergeCell ref="AD327:AH327"/>
    <mergeCell ref="AI327:AK327"/>
    <mergeCell ref="C328:D328"/>
    <mergeCell ref="E328:H328"/>
    <mergeCell ref="I328:M328"/>
    <mergeCell ref="N328:O328"/>
    <mergeCell ref="P328:S328"/>
    <mergeCell ref="T328:U328"/>
    <mergeCell ref="V328:W328"/>
    <mergeCell ref="X328:Y328"/>
    <mergeCell ref="Z328:AC328"/>
    <mergeCell ref="AD328:AH328"/>
    <mergeCell ref="AI328:AK328"/>
    <mergeCell ref="C329:D329"/>
    <mergeCell ref="E329:H329"/>
    <mergeCell ref="I329:M329"/>
    <mergeCell ref="N329:O329"/>
    <mergeCell ref="P329:S329"/>
    <mergeCell ref="T329:U329"/>
    <mergeCell ref="V329:W329"/>
    <mergeCell ref="X329:Y329"/>
    <mergeCell ref="Z329:AC329"/>
    <mergeCell ref="AD329:AH329"/>
    <mergeCell ref="AI329:AK329"/>
    <mergeCell ref="C330:D330"/>
    <mergeCell ref="E330:H330"/>
    <mergeCell ref="I330:M330"/>
    <mergeCell ref="N330:O330"/>
    <mergeCell ref="P330:S330"/>
    <mergeCell ref="T330:U330"/>
    <mergeCell ref="V330:W330"/>
    <mergeCell ref="X330:Y330"/>
    <mergeCell ref="Z330:AC330"/>
    <mergeCell ref="AD330:AH330"/>
    <mergeCell ref="AI330:AK330"/>
    <mergeCell ref="C331:D331"/>
    <mergeCell ref="E331:H331"/>
    <mergeCell ref="I331:M331"/>
    <mergeCell ref="N331:O331"/>
    <mergeCell ref="P331:S331"/>
    <mergeCell ref="T331:U331"/>
    <mergeCell ref="V331:W331"/>
    <mergeCell ref="X331:Y331"/>
    <mergeCell ref="Z331:AC331"/>
    <mergeCell ref="AD331:AH331"/>
    <mergeCell ref="AI331:AK331"/>
    <mergeCell ref="C332:D332"/>
    <mergeCell ref="E332:H332"/>
    <mergeCell ref="I332:M332"/>
    <mergeCell ref="N332:O332"/>
    <mergeCell ref="P332:S332"/>
    <mergeCell ref="T332:U332"/>
    <mergeCell ref="V332:W332"/>
    <mergeCell ref="X332:Y332"/>
    <mergeCell ref="Z332:AC332"/>
    <mergeCell ref="AD332:AH332"/>
    <mergeCell ref="AI332:AK332"/>
    <mergeCell ref="C333:D333"/>
    <mergeCell ref="E333:H333"/>
    <mergeCell ref="I333:M333"/>
    <mergeCell ref="N333:O333"/>
    <mergeCell ref="P333:S333"/>
    <mergeCell ref="T333:U333"/>
    <mergeCell ref="V333:W333"/>
    <mergeCell ref="X333:Y333"/>
    <mergeCell ref="Z333:AC333"/>
    <mergeCell ref="AD333:AH333"/>
    <mergeCell ref="AI333:AK333"/>
    <mergeCell ref="C334:D334"/>
    <mergeCell ref="E334:H334"/>
    <mergeCell ref="I334:M334"/>
    <mergeCell ref="N334:O334"/>
    <mergeCell ref="P334:S334"/>
    <mergeCell ref="T334:U334"/>
    <mergeCell ref="V334:W334"/>
    <mergeCell ref="X334:Y334"/>
    <mergeCell ref="Z334:AC334"/>
    <mergeCell ref="AD334:AH334"/>
    <mergeCell ref="AI334:AK334"/>
    <mergeCell ref="C335:D335"/>
    <mergeCell ref="E335:H335"/>
    <mergeCell ref="I335:M335"/>
    <mergeCell ref="N335:O335"/>
    <mergeCell ref="P335:S335"/>
    <mergeCell ref="T335:U335"/>
    <mergeCell ref="V335:W335"/>
    <mergeCell ref="X335:Y335"/>
    <mergeCell ref="Z335:AC335"/>
    <mergeCell ref="AD335:AH335"/>
    <mergeCell ref="AI335:AK335"/>
    <mergeCell ref="C336:D336"/>
    <mergeCell ref="E336:H336"/>
    <mergeCell ref="I336:M336"/>
    <mergeCell ref="N336:O336"/>
    <mergeCell ref="P336:S336"/>
    <mergeCell ref="T336:U336"/>
    <mergeCell ref="V336:W336"/>
    <mergeCell ref="X336:Y336"/>
    <mergeCell ref="Z336:AC336"/>
    <mergeCell ref="AD336:AH336"/>
    <mergeCell ref="AI336:AK336"/>
    <mergeCell ref="C337:D337"/>
    <mergeCell ref="E337:H337"/>
    <mergeCell ref="I337:M337"/>
    <mergeCell ref="N337:O337"/>
    <mergeCell ref="P337:S337"/>
    <mergeCell ref="T337:U337"/>
    <mergeCell ref="V337:W337"/>
    <mergeCell ref="X337:Y337"/>
    <mergeCell ref="Z337:AC337"/>
    <mergeCell ref="AD337:AH337"/>
    <mergeCell ref="AI337:AK337"/>
    <mergeCell ref="C338:D338"/>
    <mergeCell ref="E338:H338"/>
    <mergeCell ref="I338:M338"/>
    <mergeCell ref="N338:O338"/>
    <mergeCell ref="P338:S338"/>
    <mergeCell ref="T338:U338"/>
    <mergeCell ref="V338:W338"/>
    <mergeCell ref="X338:Y338"/>
    <mergeCell ref="Z338:AC338"/>
    <mergeCell ref="AD338:AH338"/>
    <mergeCell ref="AI338:AK338"/>
    <mergeCell ref="V339:W339"/>
    <mergeCell ref="C340:D340"/>
    <mergeCell ref="E340:H340"/>
    <mergeCell ref="I340:M340"/>
    <mergeCell ref="N340:O340"/>
    <mergeCell ref="P340:S340"/>
    <mergeCell ref="T340:U340"/>
    <mergeCell ref="V340:W340"/>
    <mergeCell ref="X340:Y340"/>
    <mergeCell ref="Z340:AC340"/>
    <mergeCell ref="AD340:AH340"/>
    <mergeCell ref="AI340:AK340"/>
    <mergeCell ref="C341:D341"/>
    <mergeCell ref="E341:H341"/>
    <mergeCell ref="I341:M341"/>
    <mergeCell ref="N341:O341"/>
    <mergeCell ref="P341:S341"/>
    <mergeCell ref="T341:U341"/>
    <mergeCell ref="V341:W341"/>
    <mergeCell ref="X341:Y341"/>
    <mergeCell ref="Z341:AC341"/>
    <mergeCell ref="AD341:AH341"/>
    <mergeCell ref="AI341:AK341"/>
    <mergeCell ref="C342:D342"/>
    <mergeCell ref="E342:H342"/>
    <mergeCell ref="I342:M342"/>
    <mergeCell ref="N342:O342"/>
    <mergeCell ref="P342:S342"/>
    <mergeCell ref="T342:U342"/>
    <mergeCell ref="V342:W342"/>
    <mergeCell ref="X342:Y342"/>
    <mergeCell ref="Z342:AC342"/>
    <mergeCell ref="AD342:AH342"/>
    <mergeCell ref="AI342:AK342"/>
    <mergeCell ref="C343:D343"/>
    <mergeCell ref="E343:H343"/>
    <mergeCell ref="I343:M343"/>
    <mergeCell ref="N343:O343"/>
    <mergeCell ref="P343:S343"/>
    <mergeCell ref="T343:U343"/>
    <mergeCell ref="V343:W343"/>
    <mergeCell ref="X343:Y343"/>
    <mergeCell ref="Z343:AC343"/>
    <mergeCell ref="AD343:AH343"/>
    <mergeCell ref="AI343:AK343"/>
    <mergeCell ref="C344:D344"/>
    <mergeCell ref="E344:H344"/>
    <mergeCell ref="I344:M344"/>
    <mergeCell ref="N344:O344"/>
    <mergeCell ref="P344:S344"/>
    <mergeCell ref="T344:U344"/>
    <mergeCell ref="V344:W344"/>
    <mergeCell ref="X344:Y344"/>
    <mergeCell ref="Z344:AC344"/>
    <mergeCell ref="AD344:AH344"/>
    <mergeCell ref="AI344:AK344"/>
    <mergeCell ref="C345:D345"/>
    <mergeCell ref="E345:H345"/>
    <mergeCell ref="I345:M345"/>
    <mergeCell ref="N345:O345"/>
    <mergeCell ref="P345:S345"/>
    <mergeCell ref="T345:U345"/>
    <mergeCell ref="V345:W345"/>
    <mergeCell ref="X345:Y345"/>
    <mergeCell ref="Z345:AC345"/>
    <mergeCell ref="AD345:AH345"/>
    <mergeCell ref="AI345:AK345"/>
    <mergeCell ref="C346:D346"/>
    <mergeCell ref="E346:H346"/>
    <mergeCell ref="I346:M346"/>
    <mergeCell ref="N346:O346"/>
    <mergeCell ref="P346:S346"/>
    <mergeCell ref="T346:U346"/>
    <mergeCell ref="V346:W346"/>
    <mergeCell ref="X346:Y346"/>
    <mergeCell ref="Z346:AC346"/>
    <mergeCell ref="AD346:AH346"/>
    <mergeCell ref="AI346:AK346"/>
    <mergeCell ref="C347:D347"/>
    <mergeCell ref="E347:H347"/>
    <mergeCell ref="I347:M347"/>
    <mergeCell ref="N347:O347"/>
    <mergeCell ref="P347:S347"/>
    <mergeCell ref="T347:U347"/>
    <mergeCell ref="V347:W347"/>
    <mergeCell ref="X347:Y347"/>
    <mergeCell ref="Z347:AC347"/>
    <mergeCell ref="AD347:AH347"/>
    <mergeCell ref="AI347:AK347"/>
    <mergeCell ref="C348:D348"/>
    <mergeCell ref="E348:H348"/>
    <mergeCell ref="I348:M348"/>
    <mergeCell ref="N348:O348"/>
    <mergeCell ref="P348:S348"/>
    <mergeCell ref="T348:U348"/>
    <mergeCell ref="V348:W348"/>
    <mergeCell ref="X348:Y348"/>
    <mergeCell ref="Z348:AC348"/>
    <mergeCell ref="AD348:AH348"/>
    <mergeCell ref="AI348:AK348"/>
    <mergeCell ref="C349:D349"/>
    <mergeCell ref="E349:H349"/>
    <mergeCell ref="I349:M349"/>
    <mergeCell ref="N349:O349"/>
    <mergeCell ref="P349:S349"/>
    <mergeCell ref="T349:U349"/>
    <mergeCell ref="V349:W349"/>
    <mergeCell ref="X349:Y349"/>
    <mergeCell ref="Z349:AC349"/>
    <mergeCell ref="AD349:AH349"/>
    <mergeCell ref="AI349:AK349"/>
    <mergeCell ref="C350:D350"/>
    <mergeCell ref="E350:H350"/>
    <mergeCell ref="I350:M350"/>
    <mergeCell ref="N350:O350"/>
    <mergeCell ref="P350:S350"/>
    <mergeCell ref="T350:U350"/>
    <mergeCell ref="V350:W350"/>
    <mergeCell ref="X350:Y350"/>
    <mergeCell ref="Z350:AC350"/>
    <mergeCell ref="AD350:AH350"/>
    <mergeCell ref="AI350:AK350"/>
    <mergeCell ref="C351:D351"/>
    <mergeCell ref="E351:H351"/>
    <mergeCell ref="I351:M351"/>
    <mergeCell ref="N351:O351"/>
    <mergeCell ref="P351:S351"/>
    <mergeCell ref="T351:U351"/>
    <mergeCell ref="V351:W351"/>
    <mergeCell ref="X351:Y351"/>
    <mergeCell ref="Z351:AC351"/>
    <mergeCell ref="AD351:AH351"/>
    <mergeCell ref="AI351:AK351"/>
    <mergeCell ref="C352:D352"/>
    <mergeCell ref="E352:H352"/>
    <mergeCell ref="I352:M352"/>
    <mergeCell ref="N352:O352"/>
    <mergeCell ref="P352:S352"/>
    <mergeCell ref="T352:U352"/>
    <mergeCell ref="V352:W352"/>
    <mergeCell ref="X352:Y352"/>
    <mergeCell ref="Z352:AC352"/>
    <mergeCell ref="AD352:AH352"/>
    <mergeCell ref="AI352:AK352"/>
    <mergeCell ref="C353:D353"/>
    <mergeCell ref="E353:H353"/>
    <mergeCell ref="I353:M353"/>
    <mergeCell ref="N353:O353"/>
    <mergeCell ref="P353:S353"/>
    <mergeCell ref="T353:U353"/>
    <mergeCell ref="V353:W353"/>
    <mergeCell ref="X353:Y353"/>
    <mergeCell ref="Z353:AC353"/>
    <mergeCell ref="AD353:AH353"/>
    <mergeCell ref="AI353:AK353"/>
    <mergeCell ref="C354:D354"/>
    <mergeCell ref="E354:H354"/>
    <mergeCell ref="I354:M354"/>
    <mergeCell ref="N354:O354"/>
    <mergeCell ref="P354:S354"/>
    <mergeCell ref="T354:U354"/>
    <mergeCell ref="V354:W354"/>
    <mergeCell ref="X354:Y354"/>
    <mergeCell ref="Z354:AC354"/>
    <mergeCell ref="AD354:AH354"/>
    <mergeCell ref="AI354:AK354"/>
    <mergeCell ref="C355:D355"/>
    <mergeCell ref="E355:H355"/>
    <mergeCell ref="I355:M355"/>
    <mergeCell ref="N355:O355"/>
    <mergeCell ref="P355:S355"/>
    <mergeCell ref="T355:U355"/>
    <mergeCell ref="V355:W355"/>
    <mergeCell ref="X355:Y355"/>
    <mergeCell ref="Z355:AC355"/>
    <mergeCell ref="AD355:AH355"/>
    <mergeCell ref="AI355:AK355"/>
    <mergeCell ref="C356:D356"/>
    <mergeCell ref="E356:H356"/>
    <mergeCell ref="I356:M356"/>
    <mergeCell ref="N356:O356"/>
    <mergeCell ref="P356:S356"/>
    <mergeCell ref="T356:U356"/>
    <mergeCell ref="V356:W356"/>
    <mergeCell ref="X356:Y356"/>
    <mergeCell ref="Z356:AC356"/>
    <mergeCell ref="AD356:AH356"/>
    <mergeCell ref="AI356:AK356"/>
    <mergeCell ref="C357:D357"/>
    <mergeCell ref="E357:H357"/>
    <mergeCell ref="I357:M357"/>
    <mergeCell ref="N357:O357"/>
    <mergeCell ref="P357:S357"/>
    <mergeCell ref="T357:U357"/>
    <mergeCell ref="V357:W357"/>
    <mergeCell ref="X357:Y357"/>
    <mergeCell ref="Z357:AC357"/>
    <mergeCell ref="AD357:AH357"/>
    <mergeCell ref="AI357:AK357"/>
    <mergeCell ref="C358:D358"/>
    <mergeCell ref="E358:H358"/>
    <mergeCell ref="I358:M358"/>
    <mergeCell ref="N358:O358"/>
    <mergeCell ref="P358:S358"/>
    <mergeCell ref="T358:U358"/>
    <mergeCell ref="V358:W358"/>
    <mergeCell ref="X358:Y358"/>
    <mergeCell ref="Z358:AC358"/>
    <mergeCell ref="AD358:AH358"/>
    <mergeCell ref="AI358:AK358"/>
    <mergeCell ref="C359:D359"/>
    <mergeCell ref="E359:H359"/>
    <mergeCell ref="I359:M359"/>
    <mergeCell ref="N359:O359"/>
    <mergeCell ref="P359:S359"/>
    <mergeCell ref="T359:U359"/>
    <mergeCell ref="V359:W359"/>
    <mergeCell ref="X359:Y359"/>
    <mergeCell ref="Z359:AC359"/>
    <mergeCell ref="AD359:AH359"/>
    <mergeCell ref="AI359:AK359"/>
    <mergeCell ref="C360:D360"/>
    <mergeCell ref="E360:H360"/>
    <mergeCell ref="I360:M360"/>
    <mergeCell ref="N360:O360"/>
    <mergeCell ref="P360:S360"/>
    <mergeCell ref="T360:U360"/>
    <mergeCell ref="V360:W360"/>
    <mergeCell ref="X360:Y360"/>
    <mergeCell ref="Z360:AC360"/>
    <mergeCell ref="AD360:AH360"/>
    <mergeCell ref="AI360:AK360"/>
    <mergeCell ref="C361:D361"/>
    <mergeCell ref="E361:H361"/>
    <mergeCell ref="I361:M361"/>
    <mergeCell ref="N361:O361"/>
    <mergeCell ref="P361:S361"/>
    <mergeCell ref="T361:U361"/>
    <mergeCell ref="V361:W361"/>
    <mergeCell ref="X361:Y361"/>
    <mergeCell ref="Z361:AC361"/>
    <mergeCell ref="AD361:AH361"/>
    <mergeCell ref="AI361:AK361"/>
    <mergeCell ref="C362:D362"/>
    <mergeCell ref="E362:H362"/>
    <mergeCell ref="I362:M362"/>
    <mergeCell ref="N362:O362"/>
    <mergeCell ref="P362:S362"/>
    <mergeCell ref="T362:U362"/>
    <mergeCell ref="V362:W362"/>
    <mergeCell ref="X362:Y362"/>
    <mergeCell ref="Z362:AC362"/>
    <mergeCell ref="AD362:AH362"/>
    <mergeCell ref="AI362:AK362"/>
    <mergeCell ref="C363:D363"/>
    <mergeCell ref="E363:H363"/>
    <mergeCell ref="I363:M363"/>
    <mergeCell ref="N363:O363"/>
    <mergeCell ref="P363:S363"/>
    <mergeCell ref="T363:U363"/>
    <mergeCell ref="V363:W363"/>
    <mergeCell ref="X363:Y363"/>
    <mergeCell ref="Z363:AC363"/>
    <mergeCell ref="AD363:AH363"/>
    <mergeCell ref="AI363:AK363"/>
    <mergeCell ref="C364:D364"/>
    <mergeCell ref="E364:H364"/>
    <mergeCell ref="I364:M364"/>
    <mergeCell ref="N364:O364"/>
    <mergeCell ref="P364:S364"/>
    <mergeCell ref="T364:U364"/>
    <mergeCell ref="V364:W364"/>
    <mergeCell ref="X364:Y364"/>
    <mergeCell ref="Z364:AC364"/>
    <mergeCell ref="AD364:AH364"/>
    <mergeCell ref="AI364:AK364"/>
    <mergeCell ref="C365:D365"/>
    <mergeCell ref="E365:H365"/>
    <mergeCell ref="I365:M365"/>
    <mergeCell ref="N365:O365"/>
    <mergeCell ref="P365:S365"/>
    <mergeCell ref="T365:U365"/>
    <mergeCell ref="V365:W365"/>
    <mergeCell ref="X365:Y365"/>
    <mergeCell ref="Z365:AC365"/>
    <mergeCell ref="AD365:AH365"/>
    <mergeCell ref="AI365:AK365"/>
    <mergeCell ref="C366:D366"/>
    <mergeCell ref="E366:H366"/>
    <mergeCell ref="I366:M366"/>
    <mergeCell ref="N366:O366"/>
    <mergeCell ref="P366:S366"/>
    <mergeCell ref="T366:U366"/>
    <mergeCell ref="V366:W366"/>
    <mergeCell ref="X366:Y366"/>
    <mergeCell ref="Z366:AC366"/>
    <mergeCell ref="AD366:AH366"/>
    <mergeCell ref="AI366:AK366"/>
    <mergeCell ref="C367:D367"/>
    <mergeCell ref="E367:H367"/>
    <mergeCell ref="I367:M367"/>
    <mergeCell ref="N367:O367"/>
    <mergeCell ref="P367:S367"/>
    <mergeCell ref="T367:U367"/>
    <mergeCell ref="V367:W367"/>
    <mergeCell ref="X367:Y367"/>
    <mergeCell ref="Z367:AC367"/>
    <mergeCell ref="AD367:AH367"/>
    <mergeCell ref="AI367:AK367"/>
    <mergeCell ref="C368:D368"/>
    <mergeCell ref="E368:H368"/>
    <mergeCell ref="I368:M368"/>
    <mergeCell ref="N368:O368"/>
    <mergeCell ref="P368:S368"/>
    <mergeCell ref="T368:U368"/>
    <mergeCell ref="V368:W368"/>
    <mergeCell ref="X368:Y368"/>
    <mergeCell ref="Z368:AC368"/>
    <mergeCell ref="AD368:AH368"/>
    <mergeCell ref="AI368:AK368"/>
    <mergeCell ref="C369:D369"/>
    <mergeCell ref="E369:H369"/>
    <mergeCell ref="I369:M369"/>
    <mergeCell ref="N369:O369"/>
    <mergeCell ref="P369:S369"/>
    <mergeCell ref="T369:U369"/>
    <mergeCell ref="V369:W369"/>
    <mergeCell ref="X369:Y369"/>
    <mergeCell ref="Z369:AC369"/>
    <mergeCell ref="AD369:AH369"/>
    <mergeCell ref="AI369:AK369"/>
    <mergeCell ref="C370:D370"/>
    <mergeCell ref="E370:H370"/>
    <mergeCell ref="I370:M370"/>
    <mergeCell ref="N370:O370"/>
    <mergeCell ref="P370:S370"/>
    <mergeCell ref="T370:U370"/>
    <mergeCell ref="V370:W370"/>
    <mergeCell ref="X370:Y370"/>
    <mergeCell ref="Z370:AC370"/>
    <mergeCell ref="AD370:AH370"/>
    <mergeCell ref="AI370:AK370"/>
    <mergeCell ref="C371:D371"/>
    <mergeCell ref="E371:H371"/>
    <mergeCell ref="I371:M371"/>
    <mergeCell ref="N371:O371"/>
    <mergeCell ref="P371:S371"/>
    <mergeCell ref="T371:U371"/>
    <mergeCell ref="V371:W371"/>
    <mergeCell ref="X371:Y371"/>
    <mergeCell ref="Z371:AC371"/>
    <mergeCell ref="AD371:AH371"/>
    <mergeCell ref="AI371:AK371"/>
    <mergeCell ref="C372:D372"/>
    <mergeCell ref="E372:H372"/>
    <mergeCell ref="I372:M372"/>
    <mergeCell ref="N372:O372"/>
    <mergeCell ref="P372:S372"/>
    <mergeCell ref="T372:U372"/>
    <mergeCell ref="V372:W372"/>
    <mergeCell ref="X372:Y372"/>
    <mergeCell ref="Z372:AC372"/>
    <mergeCell ref="AD372:AH372"/>
    <mergeCell ref="AI372:AK372"/>
    <mergeCell ref="C373:D373"/>
    <mergeCell ref="E373:H373"/>
    <mergeCell ref="I373:M373"/>
    <mergeCell ref="N373:O373"/>
    <mergeCell ref="P373:S373"/>
    <mergeCell ref="T373:U373"/>
    <mergeCell ref="V373:W373"/>
    <mergeCell ref="X373:Y373"/>
    <mergeCell ref="Z373:AC373"/>
    <mergeCell ref="AD373:AH373"/>
    <mergeCell ref="AI373:AK373"/>
    <mergeCell ref="C374:D374"/>
    <mergeCell ref="E374:H374"/>
    <mergeCell ref="I374:M374"/>
    <mergeCell ref="N374:O374"/>
    <mergeCell ref="P374:S374"/>
    <mergeCell ref="T374:U374"/>
    <mergeCell ref="V374:W374"/>
    <mergeCell ref="X374:Y374"/>
    <mergeCell ref="Z374:AC374"/>
    <mergeCell ref="AD374:AH374"/>
    <mergeCell ref="AI374:AK374"/>
    <mergeCell ref="C375:D375"/>
    <mergeCell ref="E375:H375"/>
    <mergeCell ref="I375:M375"/>
    <mergeCell ref="N375:O375"/>
    <mergeCell ref="P375:S375"/>
    <mergeCell ref="T375:U375"/>
    <mergeCell ref="V375:W375"/>
    <mergeCell ref="X375:Y375"/>
    <mergeCell ref="Z375:AC375"/>
    <mergeCell ref="AD375:AH375"/>
    <mergeCell ref="AI375:AK375"/>
    <mergeCell ref="C376:D376"/>
    <mergeCell ref="E376:H376"/>
    <mergeCell ref="I376:M376"/>
    <mergeCell ref="N376:O376"/>
    <mergeCell ref="P376:S376"/>
    <mergeCell ref="T376:U376"/>
    <mergeCell ref="V376:W376"/>
    <mergeCell ref="X376:Y376"/>
    <mergeCell ref="Z376:AC376"/>
    <mergeCell ref="AD376:AH376"/>
    <mergeCell ref="AI376:AK376"/>
    <mergeCell ref="C377:D377"/>
    <mergeCell ref="E377:H377"/>
    <mergeCell ref="I377:M377"/>
    <mergeCell ref="N377:O377"/>
    <mergeCell ref="P377:S377"/>
    <mergeCell ref="T377:U377"/>
    <mergeCell ref="V377:W377"/>
    <mergeCell ref="X377:Y377"/>
    <mergeCell ref="Z377:AC377"/>
    <mergeCell ref="AD377:AH377"/>
    <mergeCell ref="AI377:AK377"/>
    <mergeCell ref="C378:D378"/>
    <mergeCell ref="E378:H378"/>
    <mergeCell ref="I378:M378"/>
    <mergeCell ref="N378:O378"/>
    <mergeCell ref="P378:S378"/>
    <mergeCell ref="T378:U378"/>
    <mergeCell ref="V378:W378"/>
    <mergeCell ref="X378:Y378"/>
    <mergeCell ref="Z378:AC378"/>
    <mergeCell ref="AD378:AH378"/>
    <mergeCell ref="AI378:AK378"/>
    <mergeCell ref="C379:D379"/>
    <mergeCell ref="E379:H379"/>
    <mergeCell ref="I379:M379"/>
    <mergeCell ref="N379:O379"/>
    <mergeCell ref="P379:S379"/>
    <mergeCell ref="T379:U379"/>
    <mergeCell ref="V379:W379"/>
    <mergeCell ref="X379:Y379"/>
    <mergeCell ref="Z379:AC379"/>
    <mergeCell ref="AD379:AH379"/>
    <mergeCell ref="AI379:AK379"/>
    <mergeCell ref="V380:W380"/>
    <mergeCell ref="C381:D381"/>
    <mergeCell ref="E381:H381"/>
    <mergeCell ref="I381:M381"/>
    <mergeCell ref="N381:O381"/>
    <mergeCell ref="P381:S381"/>
    <mergeCell ref="T381:U381"/>
    <mergeCell ref="V381:W381"/>
    <mergeCell ref="X381:Y381"/>
    <mergeCell ref="Z381:AC381"/>
    <mergeCell ref="AD381:AH381"/>
    <mergeCell ref="AI381:AK381"/>
    <mergeCell ref="C382:D382"/>
    <mergeCell ref="E382:H382"/>
    <mergeCell ref="I382:M382"/>
    <mergeCell ref="N382:O382"/>
    <mergeCell ref="P382:S382"/>
    <mergeCell ref="T382:U382"/>
    <mergeCell ref="V382:W382"/>
    <mergeCell ref="X382:Y382"/>
    <mergeCell ref="Z382:AC382"/>
    <mergeCell ref="AD382:AH382"/>
    <mergeCell ref="AI382:AK382"/>
    <mergeCell ref="C383:D383"/>
    <mergeCell ref="E383:H383"/>
    <mergeCell ref="I383:M383"/>
    <mergeCell ref="N383:O383"/>
    <mergeCell ref="P383:S383"/>
    <mergeCell ref="T383:U383"/>
    <mergeCell ref="V383:W383"/>
    <mergeCell ref="X383:Y383"/>
    <mergeCell ref="Z383:AC383"/>
    <mergeCell ref="AD383:AH383"/>
    <mergeCell ref="AI383:AK383"/>
    <mergeCell ref="C384:D384"/>
    <mergeCell ref="E384:H384"/>
    <mergeCell ref="I384:M384"/>
    <mergeCell ref="N384:O384"/>
    <mergeCell ref="P384:S384"/>
    <mergeCell ref="T384:U384"/>
    <mergeCell ref="V384:W384"/>
    <mergeCell ref="X384:Y384"/>
    <mergeCell ref="Z384:AC384"/>
    <mergeCell ref="AD384:AH384"/>
    <mergeCell ref="AI384:AK384"/>
    <mergeCell ref="C385:D385"/>
    <mergeCell ref="E385:H385"/>
    <mergeCell ref="I385:M385"/>
    <mergeCell ref="N385:O385"/>
    <mergeCell ref="P385:S385"/>
    <mergeCell ref="T385:U385"/>
    <mergeCell ref="V385:W385"/>
    <mergeCell ref="X385:Y385"/>
    <mergeCell ref="Z385:AC385"/>
    <mergeCell ref="AD385:AH385"/>
    <mergeCell ref="AI385:AK385"/>
    <mergeCell ref="C386:D386"/>
    <mergeCell ref="E386:H386"/>
    <mergeCell ref="I386:M386"/>
    <mergeCell ref="N386:O386"/>
    <mergeCell ref="P386:S386"/>
    <mergeCell ref="T386:U386"/>
    <mergeCell ref="V386:W386"/>
    <mergeCell ref="X386:Y386"/>
    <mergeCell ref="Z386:AC386"/>
    <mergeCell ref="AD386:AH386"/>
    <mergeCell ref="AI386:AK386"/>
    <mergeCell ref="C387:D387"/>
    <mergeCell ref="E387:H387"/>
    <mergeCell ref="I387:M387"/>
    <mergeCell ref="N387:O387"/>
    <mergeCell ref="P387:S387"/>
    <mergeCell ref="T387:U387"/>
    <mergeCell ref="V387:W387"/>
    <mergeCell ref="X387:Y387"/>
    <mergeCell ref="Z387:AC387"/>
    <mergeCell ref="AD387:AH387"/>
    <mergeCell ref="AI387:AK387"/>
    <mergeCell ref="C388:D388"/>
    <mergeCell ref="E388:H388"/>
    <mergeCell ref="I388:M388"/>
    <mergeCell ref="N388:O388"/>
    <mergeCell ref="P388:S388"/>
    <mergeCell ref="T388:U388"/>
    <mergeCell ref="V388:W388"/>
    <mergeCell ref="X388:Y388"/>
    <mergeCell ref="Z388:AC388"/>
    <mergeCell ref="AD388:AH388"/>
    <mergeCell ref="AI388:AK388"/>
    <mergeCell ref="C389:D389"/>
    <mergeCell ref="E389:H389"/>
    <mergeCell ref="I389:M389"/>
    <mergeCell ref="N389:O389"/>
    <mergeCell ref="P389:S389"/>
    <mergeCell ref="T389:U389"/>
    <mergeCell ref="V389:W389"/>
    <mergeCell ref="X389:Y389"/>
    <mergeCell ref="Z389:AC389"/>
    <mergeCell ref="AD389:AH389"/>
    <mergeCell ref="AI389:AK389"/>
    <mergeCell ref="C390:D390"/>
    <mergeCell ref="E390:H390"/>
    <mergeCell ref="I390:M390"/>
    <mergeCell ref="N390:O390"/>
    <mergeCell ref="P390:S390"/>
    <mergeCell ref="T390:U390"/>
    <mergeCell ref="V390:W390"/>
    <mergeCell ref="X390:Y390"/>
    <mergeCell ref="Z390:AC390"/>
    <mergeCell ref="AD390:AH390"/>
    <mergeCell ref="AI390:AK390"/>
    <mergeCell ref="C391:D391"/>
    <mergeCell ref="E391:H391"/>
    <mergeCell ref="I391:M391"/>
    <mergeCell ref="N391:O391"/>
    <mergeCell ref="P391:S391"/>
    <mergeCell ref="T391:U391"/>
    <mergeCell ref="V391:W391"/>
    <mergeCell ref="X391:Y391"/>
    <mergeCell ref="Z391:AC391"/>
    <mergeCell ref="AD391:AH391"/>
    <mergeCell ref="AI391:AK391"/>
    <mergeCell ref="C392:D392"/>
    <mergeCell ref="E392:H392"/>
    <mergeCell ref="I392:M392"/>
    <mergeCell ref="N392:O392"/>
    <mergeCell ref="P392:S392"/>
    <mergeCell ref="T392:U392"/>
    <mergeCell ref="V392:W392"/>
    <mergeCell ref="X392:Y392"/>
    <mergeCell ref="Z392:AC392"/>
    <mergeCell ref="AD392:AH392"/>
    <mergeCell ref="AI392:AK392"/>
    <mergeCell ref="C393:D393"/>
    <mergeCell ref="E393:H393"/>
    <mergeCell ref="I393:M393"/>
    <mergeCell ref="N393:O393"/>
    <mergeCell ref="P393:S393"/>
    <mergeCell ref="T393:U393"/>
    <mergeCell ref="V393:W393"/>
    <mergeCell ref="X393:Y393"/>
    <mergeCell ref="Z393:AC393"/>
    <mergeCell ref="AD393:AH393"/>
    <mergeCell ref="AI393:AK393"/>
    <mergeCell ref="C394:D394"/>
    <mergeCell ref="E394:H394"/>
    <mergeCell ref="I394:M394"/>
    <mergeCell ref="N394:O394"/>
    <mergeCell ref="P394:S394"/>
    <mergeCell ref="T394:U394"/>
    <mergeCell ref="V394:W394"/>
    <mergeCell ref="X394:Y394"/>
    <mergeCell ref="Z394:AC394"/>
    <mergeCell ref="AD394:AH394"/>
    <mergeCell ref="AI394:AK394"/>
    <mergeCell ref="C395:D395"/>
    <mergeCell ref="E395:H395"/>
    <mergeCell ref="I395:M395"/>
    <mergeCell ref="N395:O395"/>
    <mergeCell ref="P395:S395"/>
    <mergeCell ref="T395:U395"/>
    <mergeCell ref="V395:W395"/>
    <mergeCell ref="X395:Y395"/>
    <mergeCell ref="Z395:AC395"/>
    <mergeCell ref="AD395:AH395"/>
    <mergeCell ref="AI395:AK395"/>
    <mergeCell ref="C396:D396"/>
    <mergeCell ref="E396:H396"/>
    <mergeCell ref="I396:M396"/>
    <mergeCell ref="N396:O396"/>
    <mergeCell ref="P396:S396"/>
    <mergeCell ref="T396:U396"/>
    <mergeCell ref="V396:W396"/>
    <mergeCell ref="X396:Y396"/>
    <mergeCell ref="Z396:AC396"/>
    <mergeCell ref="AD396:AH396"/>
    <mergeCell ref="AI396:AK396"/>
    <mergeCell ref="C397:D397"/>
    <mergeCell ref="E397:H397"/>
    <mergeCell ref="I397:M397"/>
    <mergeCell ref="N397:O397"/>
    <mergeCell ref="P397:S397"/>
    <mergeCell ref="T397:U397"/>
    <mergeCell ref="V397:W397"/>
    <mergeCell ref="X397:Y397"/>
    <mergeCell ref="Z397:AC397"/>
    <mergeCell ref="AD397:AH397"/>
    <mergeCell ref="AI397:AK397"/>
    <mergeCell ref="C398:D398"/>
    <mergeCell ref="E398:H398"/>
    <mergeCell ref="I398:M398"/>
    <mergeCell ref="N398:O398"/>
    <mergeCell ref="P398:S398"/>
    <mergeCell ref="T398:U398"/>
    <mergeCell ref="V398:W398"/>
    <mergeCell ref="X398:Y398"/>
    <mergeCell ref="Z398:AC398"/>
    <mergeCell ref="AD398:AH398"/>
    <mergeCell ref="AI398:AK398"/>
    <mergeCell ref="C399:D399"/>
    <mergeCell ref="E399:H399"/>
    <mergeCell ref="I399:M399"/>
    <mergeCell ref="N399:O399"/>
    <mergeCell ref="P399:S399"/>
    <mergeCell ref="T399:U399"/>
    <mergeCell ref="V399:W399"/>
    <mergeCell ref="X399:Y399"/>
    <mergeCell ref="Z399:AC399"/>
    <mergeCell ref="AD399:AH399"/>
    <mergeCell ref="AI399:AK399"/>
    <mergeCell ref="C400:D400"/>
    <mergeCell ref="E400:H400"/>
    <mergeCell ref="I400:M400"/>
    <mergeCell ref="N400:O400"/>
    <mergeCell ref="P400:S400"/>
    <mergeCell ref="T400:U400"/>
    <mergeCell ref="V400:W400"/>
    <mergeCell ref="X400:Y400"/>
    <mergeCell ref="Z400:AC400"/>
    <mergeCell ref="AD400:AH400"/>
    <mergeCell ref="AI400:AK400"/>
    <mergeCell ref="C401:D401"/>
    <mergeCell ref="E401:H401"/>
    <mergeCell ref="I401:M401"/>
    <mergeCell ref="N401:O401"/>
    <mergeCell ref="P401:S401"/>
    <mergeCell ref="T401:U401"/>
    <mergeCell ref="V401:W401"/>
    <mergeCell ref="X401:Y401"/>
    <mergeCell ref="Z401:AC401"/>
    <mergeCell ref="AD401:AH401"/>
    <mergeCell ref="AI401:AK401"/>
    <mergeCell ref="C402:D402"/>
    <mergeCell ref="E402:H402"/>
    <mergeCell ref="I402:M402"/>
    <mergeCell ref="N402:O402"/>
    <mergeCell ref="P402:S402"/>
    <mergeCell ref="T402:U402"/>
    <mergeCell ref="V402:W402"/>
    <mergeCell ref="X402:Y402"/>
    <mergeCell ref="Z402:AC402"/>
    <mergeCell ref="AD402:AH402"/>
    <mergeCell ref="AI402:AK402"/>
    <mergeCell ref="C403:D403"/>
    <mergeCell ref="E403:H403"/>
    <mergeCell ref="I403:M403"/>
    <mergeCell ref="N403:O403"/>
    <mergeCell ref="P403:S403"/>
    <mergeCell ref="T403:U403"/>
    <mergeCell ref="V403:W403"/>
    <mergeCell ref="X403:Y403"/>
    <mergeCell ref="Z403:AC403"/>
    <mergeCell ref="AD403:AH403"/>
    <mergeCell ref="AI403:AK403"/>
    <mergeCell ref="C404:D404"/>
    <mergeCell ref="E404:H404"/>
    <mergeCell ref="I404:M404"/>
    <mergeCell ref="N404:O404"/>
    <mergeCell ref="P404:S404"/>
    <mergeCell ref="T404:U404"/>
    <mergeCell ref="V404:W404"/>
    <mergeCell ref="X404:Y404"/>
    <mergeCell ref="Z404:AC404"/>
    <mergeCell ref="AD404:AH404"/>
    <mergeCell ref="AI404:AK404"/>
    <mergeCell ref="C405:D405"/>
    <mergeCell ref="E405:H405"/>
    <mergeCell ref="I405:M405"/>
    <mergeCell ref="N405:O405"/>
    <mergeCell ref="P405:S405"/>
    <mergeCell ref="T405:U405"/>
    <mergeCell ref="V405:W405"/>
    <mergeCell ref="X405:Y405"/>
    <mergeCell ref="Z405:AC405"/>
    <mergeCell ref="AD405:AH405"/>
    <mergeCell ref="AI405:AK405"/>
    <mergeCell ref="C406:D406"/>
    <mergeCell ref="E406:H406"/>
    <mergeCell ref="I406:M406"/>
    <mergeCell ref="N406:O406"/>
    <mergeCell ref="P406:S406"/>
    <mergeCell ref="T406:U406"/>
    <mergeCell ref="V406:W406"/>
    <mergeCell ref="X406:Y406"/>
    <mergeCell ref="Z406:AC406"/>
    <mergeCell ref="AD406:AH406"/>
    <mergeCell ref="AI406:AK406"/>
    <mergeCell ref="C407:D407"/>
    <mergeCell ref="E407:H407"/>
    <mergeCell ref="I407:M407"/>
    <mergeCell ref="N407:O407"/>
    <mergeCell ref="P407:S407"/>
    <mergeCell ref="T407:U407"/>
    <mergeCell ref="V407:W407"/>
    <mergeCell ref="X407:Y407"/>
    <mergeCell ref="Z407:AC407"/>
    <mergeCell ref="AD407:AH407"/>
    <mergeCell ref="AI407:AK407"/>
    <mergeCell ref="C408:D408"/>
    <mergeCell ref="E408:H408"/>
    <mergeCell ref="I408:M408"/>
    <mergeCell ref="N408:O408"/>
    <mergeCell ref="P408:S408"/>
    <mergeCell ref="T408:U408"/>
    <mergeCell ref="V408:W408"/>
    <mergeCell ref="X408:Y408"/>
    <mergeCell ref="Z408:AC408"/>
    <mergeCell ref="AD408:AH408"/>
    <mergeCell ref="AI408:AK408"/>
    <mergeCell ref="C409:D409"/>
    <mergeCell ref="E409:H409"/>
    <mergeCell ref="I409:M409"/>
    <mergeCell ref="N409:O409"/>
    <mergeCell ref="P409:S409"/>
    <mergeCell ref="T409:U409"/>
    <mergeCell ref="V409:W409"/>
    <mergeCell ref="X409:Y409"/>
    <mergeCell ref="Z409:AC409"/>
    <mergeCell ref="AD409:AH409"/>
    <mergeCell ref="AI409:AK409"/>
    <mergeCell ref="C410:D410"/>
    <mergeCell ref="E410:H410"/>
    <mergeCell ref="I410:M410"/>
    <mergeCell ref="N410:O410"/>
    <mergeCell ref="P410:S410"/>
    <mergeCell ref="T410:U410"/>
    <mergeCell ref="V410:W410"/>
    <mergeCell ref="X410:Y410"/>
    <mergeCell ref="Z410:AC410"/>
    <mergeCell ref="AD410:AH410"/>
    <mergeCell ref="AI410:AK410"/>
    <mergeCell ref="C411:D411"/>
    <mergeCell ref="E411:H411"/>
    <mergeCell ref="I411:M411"/>
    <mergeCell ref="N411:O411"/>
    <mergeCell ref="P411:S411"/>
    <mergeCell ref="T411:U411"/>
    <mergeCell ref="V411:W411"/>
    <mergeCell ref="X411:Y411"/>
    <mergeCell ref="Z411:AC411"/>
    <mergeCell ref="AD411:AH411"/>
    <mergeCell ref="AI411:AK411"/>
    <mergeCell ref="C412:D412"/>
    <mergeCell ref="E412:H412"/>
    <mergeCell ref="I412:M412"/>
    <mergeCell ref="N412:O412"/>
    <mergeCell ref="P412:S412"/>
    <mergeCell ref="T412:U412"/>
    <mergeCell ref="V412:W412"/>
    <mergeCell ref="X412:Y412"/>
    <mergeCell ref="Z412:AC412"/>
    <mergeCell ref="AD412:AH412"/>
    <mergeCell ref="AI412:AK412"/>
    <mergeCell ref="C413:D413"/>
    <mergeCell ref="E413:H413"/>
    <mergeCell ref="I413:M413"/>
    <mergeCell ref="N413:O413"/>
    <mergeCell ref="P413:S413"/>
    <mergeCell ref="T413:U413"/>
    <mergeCell ref="V413:W413"/>
    <mergeCell ref="X413:Y413"/>
    <mergeCell ref="Z413:AC413"/>
    <mergeCell ref="AD413:AH413"/>
    <mergeCell ref="AI413:AK413"/>
    <mergeCell ref="C414:D414"/>
    <mergeCell ref="E414:H414"/>
    <mergeCell ref="I414:M414"/>
    <mergeCell ref="N414:O414"/>
    <mergeCell ref="P414:S414"/>
    <mergeCell ref="T414:U414"/>
    <mergeCell ref="V414:W414"/>
    <mergeCell ref="X414:Y414"/>
    <mergeCell ref="Z414:AC414"/>
    <mergeCell ref="AD414:AH414"/>
    <mergeCell ref="AI414:AK414"/>
    <mergeCell ref="C415:D415"/>
    <mergeCell ref="E415:H415"/>
    <mergeCell ref="I415:M415"/>
    <mergeCell ref="N415:O415"/>
    <mergeCell ref="P415:S415"/>
    <mergeCell ref="T415:U415"/>
    <mergeCell ref="V415:W415"/>
    <mergeCell ref="X415:Y415"/>
    <mergeCell ref="Z415:AC415"/>
    <mergeCell ref="AD415:AH415"/>
    <mergeCell ref="AI415:AK415"/>
    <mergeCell ref="C416:D416"/>
    <mergeCell ref="E416:H416"/>
    <mergeCell ref="I416:M416"/>
    <mergeCell ref="N416:O416"/>
    <mergeCell ref="P416:S416"/>
    <mergeCell ref="T416:U416"/>
    <mergeCell ref="V416:W416"/>
    <mergeCell ref="X416:Y416"/>
    <mergeCell ref="Z416:AC416"/>
    <mergeCell ref="AD416:AH416"/>
    <mergeCell ref="AI416:AK416"/>
    <mergeCell ref="C417:D417"/>
    <mergeCell ref="E417:H417"/>
    <mergeCell ref="I417:M417"/>
    <mergeCell ref="N417:O417"/>
    <mergeCell ref="P417:S417"/>
    <mergeCell ref="T417:U417"/>
    <mergeCell ref="V417:W417"/>
    <mergeCell ref="X417:Y417"/>
    <mergeCell ref="Z417:AC417"/>
    <mergeCell ref="AD417:AH417"/>
    <mergeCell ref="AI417:AK417"/>
    <mergeCell ref="C418:D418"/>
    <mergeCell ref="E418:H418"/>
    <mergeCell ref="I418:M418"/>
    <mergeCell ref="N418:O418"/>
    <mergeCell ref="P418:S418"/>
    <mergeCell ref="T418:U418"/>
    <mergeCell ref="V418:W418"/>
    <mergeCell ref="X418:Y418"/>
    <mergeCell ref="Z418:AC418"/>
    <mergeCell ref="AD418:AH418"/>
    <mergeCell ref="AI418:AK418"/>
    <mergeCell ref="C419:D419"/>
    <mergeCell ref="E419:H419"/>
    <mergeCell ref="I419:M419"/>
    <mergeCell ref="N419:O419"/>
    <mergeCell ref="P419:S419"/>
    <mergeCell ref="T419:U419"/>
    <mergeCell ref="V419:W419"/>
    <mergeCell ref="X419:Y419"/>
    <mergeCell ref="Z419:AC419"/>
    <mergeCell ref="AD419:AH419"/>
    <mergeCell ref="AI419:AK419"/>
    <mergeCell ref="C420:D420"/>
    <mergeCell ref="E420:H420"/>
    <mergeCell ref="I420:M420"/>
    <mergeCell ref="N420:O420"/>
    <mergeCell ref="P420:S420"/>
    <mergeCell ref="T420:U420"/>
    <mergeCell ref="V420:W420"/>
    <mergeCell ref="X420:Y420"/>
    <mergeCell ref="Z420:AC420"/>
    <mergeCell ref="AD420:AH420"/>
    <mergeCell ref="AI420:AK420"/>
    <mergeCell ref="V421:W421"/>
    <mergeCell ref="C422:D422"/>
    <mergeCell ref="E422:H422"/>
    <mergeCell ref="I422:M422"/>
    <mergeCell ref="N422:O422"/>
    <mergeCell ref="P422:S422"/>
    <mergeCell ref="T422:U422"/>
    <mergeCell ref="V422:W422"/>
    <mergeCell ref="X422:Y422"/>
    <mergeCell ref="Z422:AC422"/>
    <mergeCell ref="AD422:AH422"/>
    <mergeCell ref="AI422:AK422"/>
    <mergeCell ref="C423:D423"/>
    <mergeCell ref="E423:H423"/>
    <mergeCell ref="I423:M423"/>
    <mergeCell ref="N423:O423"/>
    <mergeCell ref="P423:S423"/>
    <mergeCell ref="T423:U423"/>
    <mergeCell ref="V423:W423"/>
    <mergeCell ref="X423:Y423"/>
    <mergeCell ref="Z423:AC423"/>
    <mergeCell ref="AD423:AH423"/>
    <mergeCell ref="AI423:AK423"/>
    <mergeCell ref="C424:D424"/>
    <mergeCell ref="E424:H424"/>
    <mergeCell ref="I424:M424"/>
    <mergeCell ref="N424:O424"/>
    <mergeCell ref="P424:S424"/>
    <mergeCell ref="T424:U424"/>
    <mergeCell ref="V424:W424"/>
    <mergeCell ref="X424:Y424"/>
    <mergeCell ref="Z424:AC424"/>
    <mergeCell ref="AD424:AH424"/>
    <mergeCell ref="AI424:AK424"/>
    <mergeCell ref="C425:D425"/>
    <mergeCell ref="E425:H425"/>
    <mergeCell ref="I425:M425"/>
    <mergeCell ref="N425:O425"/>
    <mergeCell ref="P425:S425"/>
    <mergeCell ref="T425:U425"/>
    <mergeCell ref="V425:W425"/>
    <mergeCell ref="X425:Y425"/>
    <mergeCell ref="Z425:AC425"/>
    <mergeCell ref="AD425:AH425"/>
    <mergeCell ref="AI425:AK425"/>
    <mergeCell ref="C426:D426"/>
    <mergeCell ref="E426:H426"/>
    <mergeCell ref="I426:M426"/>
    <mergeCell ref="N426:O426"/>
    <mergeCell ref="P426:S426"/>
    <mergeCell ref="T426:U426"/>
    <mergeCell ref="V426:W426"/>
    <mergeCell ref="X426:Y426"/>
    <mergeCell ref="Z426:AC426"/>
    <mergeCell ref="AD426:AH426"/>
    <mergeCell ref="AI426:AK426"/>
    <mergeCell ref="C427:D427"/>
    <mergeCell ref="E427:H427"/>
    <mergeCell ref="I427:M427"/>
    <mergeCell ref="N427:O427"/>
    <mergeCell ref="P427:S427"/>
    <mergeCell ref="T427:U427"/>
    <mergeCell ref="V427:W427"/>
    <mergeCell ref="X427:Y427"/>
    <mergeCell ref="Z427:AC427"/>
    <mergeCell ref="AD427:AH427"/>
    <mergeCell ref="AI427:AK427"/>
    <mergeCell ref="C428:D428"/>
    <mergeCell ref="E428:H428"/>
    <mergeCell ref="I428:M428"/>
    <mergeCell ref="N428:O428"/>
    <mergeCell ref="P428:S428"/>
    <mergeCell ref="T428:U428"/>
    <mergeCell ref="V428:W428"/>
    <mergeCell ref="X428:Y428"/>
    <mergeCell ref="Z428:AC428"/>
    <mergeCell ref="AD428:AH428"/>
    <mergeCell ref="AI428:AK428"/>
    <mergeCell ref="C429:D429"/>
    <mergeCell ref="E429:H429"/>
    <mergeCell ref="I429:M429"/>
    <mergeCell ref="N429:O429"/>
    <mergeCell ref="P429:S429"/>
    <mergeCell ref="T429:U429"/>
    <mergeCell ref="V429:W429"/>
    <mergeCell ref="X429:Y429"/>
    <mergeCell ref="Z429:AC429"/>
    <mergeCell ref="AD429:AH429"/>
    <mergeCell ref="AI429:AK429"/>
    <mergeCell ref="C430:D430"/>
    <mergeCell ref="E430:H430"/>
    <mergeCell ref="I430:M430"/>
    <mergeCell ref="N430:O430"/>
    <mergeCell ref="P430:S430"/>
    <mergeCell ref="T430:U430"/>
    <mergeCell ref="V430:W430"/>
    <mergeCell ref="X430:Y430"/>
    <mergeCell ref="Z430:AC430"/>
    <mergeCell ref="AD430:AH430"/>
    <mergeCell ref="AI430:AK430"/>
    <mergeCell ref="C431:D431"/>
    <mergeCell ref="E431:H431"/>
    <mergeCell ref="I431:M431"/>
    <mergeCell ref="N431:O431"/>
    <mergeCell ref="P431:S431"/>
    <mergeCell ref="T431:U431"/>
    <mergeCell ref="V431:W431"/>
    <mergeCell ref="X431:Y431"/>
    <mergeCell ref="Z431:AC431"/>
    <mergeCell ref="AD431:AH431"/>
    <mergeCell ref="AI431:AK431"/>
    <mergeCell ref="C432:D432"/>
    <mergeCell ref="E432:H432"/>
    <mergeCell ref="I432:M432"/>
    <mergeCell ref="N432:O432"/>
    <mergeCell ref="P432:S432"/>
    <mergeCell ref="T432:U432"/>
    <mergeCell ref="V432:W432"/>
    <mergeCell ref="X432:Y432"/>
    <mergeCell ref="Z432:AC432"/>
    <mergeCell ref="AD432:AH432"/>
    <mergeCell ref="AI432:AK432"/>
    <mergeCell ref="C433:D433"/>
    <mergeCell ref="E433:H433"/>
    <mergeCell ref="I433:M433"/>
    <mergeCell ref="N433:O433"/>
    <mergeCell ref="P433:S433"/>
    <mergeCell ref="T433:U433"/>
    <mergeCell ref="V433:W433"/>
    <mergeCell ref="X433:Y433"/>
    <mergeCell ref="Z433:AC433"/>
    <mergeCell ref="AD433:AH433"/>
    <mergeCell ref="AI433:AK433"/>
    <mergeCell ref="C434:D434"/>
    <mergeCell ref="E434:H434"/>
    <mergeCell ref="I434:M434"/>
    <mergeCell ref="N434:O434"/>
    <mergeCell ref="P434:S434"/>
    <mergeCell ref="T434:U434"/>
    <mergeCell ref="V434:W434"/>
    <mergeCell ref="X434:Y434"/>
    <mergeCell ref="Z434:AC434"/>
    <mergeCell ref="AD434:AH434"/>
    <mergeCell ref="AI434:AK434"/>
    <mergeCell ref="C435:D435"/>
    <mergeCell ref="E435:H435"/>
    <mergeCell ref="I435:M435"/>
    <mergeCell ref="N435:O435"/>
    <mergeCell ref="P435:S435"/>
    <mergeCell ref="T435:U435"/>
    <mergeCell ref="V435:W435"/>
    <mergeCell ref="X435:Y435"/>
    <mergeCell ref="Z435:AC435"/>
    <mergeCell ref="AD435:AH435"/>
    <mergeCell ref="AI435:AK435"/>
    <mergeCell ref="C436:D436"/>
    <mergeCell ref="E436:H436"/>
    <mergeCell ref="I436:M436"/>
    <mergeCell ref="N436:O436"/>
    <mergeCell ref="P436:S436"/>
    <mergeCell ref="T436:U436"/>
    <mergeCell ref="V436:W436"/>
    <mergeCell ref="X436:Y436"/>
    <mergeCell ref="Z436:AC436"/>
    <mergeCell ref="AD436:AH436"/>
    <mergeCell ref="AI436:AK436"/>
    <mergeCell ref="C437:D437"/>
    <mergeCell ref="E437:H437"/>
    <mergeCell ref="I437:M437"/>
    <mergeCell ref="N437:O437"/>
    <mergeCell ref="P437:S437"/>
    <mergeCell ref="T437:U437"/>
    <mergeCell ref="V437:W437"/>
    <mergeCell ref="X437:Y437"/>
    <mergeCell ref="Z437:AC437"/>
    <mergeCell ref="AD437:AH437"/>
    <mergeCell ref="AI437:AK437"/>
    <mergeCell ref="C438:D438"/>
    <mergeCell ref="E438:H438"/>
    <mergeCell ref="I438:M438"/>
    <mergeCell ref="N438:O438"/>
    <mergeCell ref="P438:S438"/>
    <mergeCell ref="T438:U438"/>
    <mergeCell ref="V438:W438"/>
    <mergeCell ref="X438:Y438"/>
    <mergeCell ref="Z438:AC438"/>
    <mergeCell ref="AD438:AH438"/>
    <mergeCell ref="AI438:AK438"/>
    <mergeCell ref="C439:D439"/>
    <mergeCell ref="E439:H439"/>
    <mergeCell ref="I439:M439"/>
    <mergeCell ref="N439:O439"/>
    <mergeCell ref="P439:S439"/>
    <mergeCell ref="T439:U439"/>
    <mergeCell ref="V439:W439"/>
    <mergeCell ref="X439:Y439"/>
    <mergeCell ref="Z439:AC439"/>
    <mergeCell ref="AD439:AH439"/>
    <mergeCell ref="AI439:AK439"/>
    <mergeCell ref="C440:D440"/>
    <mergeCell ref="E440:H440"/>
    <mergeCell ref="I440:M440"/>
    <mergeCell ref="N440:O440"/>
    <mergeCell ref="P440:S440"/>
    <mergeCell ref="T440:U440"/>
    <mergeCell ref="V440:W440"/>
    <mergeCell ref="X440:Y440"/>
    <mergeCell ref="Z440:AC440"/>
    <mergeCell ref="AD440:AH440"/>
    <mergeCell ref="AI440:AK440"/>
    <mergeCell ref="C441:D441"/>
    <mergeCell ref="E441:H441"/>
    <mergeCell ref="I441:M441"/>
    <mergeCell ref="N441:O441"/>
    <mergeCell ref="P441:S441"/>
    <mergeCell ref="T441:U441"/>
    <mergeCell ref="V441:W441"/>
    <mergeCell ref="X441:Y441"/>
    <mergeCell ref="Z441:AC441"/>
    <mergeCell ref="AD441:AH441"/>
    <mergeCell ref="AI441:AK441"/>
    <mergeCell ref="C442:D442"/>
    <mergeCell ref="E442:H442"/>
    <mergeCell ref="I442:M442"/>
    <mergeCell ref="N442:O442"/>
    <mergeCell ref="P442:S442"/>
    <mergeCell ref="T442:U442"/>
    <mergeCell ref="V442:W442"/>
    <mergeCell ref="X442:Y442"/>
    <mergeCell ref="Z442:AC442"/>
    <mergeCell ref="AD442:AH442"/>
    <mergeCell ref="AI442:AK442"/>
    <mergeCell ref="C443:D443"/>
    <mergeCell ref="E443:H443"/>
    <mergeCell ref="I443:M443"/>
    <mergeCell ref="N443:O443"/>
    <mergeCell ref="P443:S443"/>
    <mergeCell ref="T443:U443"/>
    <mergeCell ref="V443:W443"/>
    <mergeCell ref="X443:Y443"/>
    <mergeCell ref="Z443:AC443"/>
    <mergeCell ref="AD443:AH443"/>
    <mergeCell ref="AI443:AK443"/>
    <mergeCell ref="C444:D444"/>
    <mergeCell ref="E444:H444"/>
    <mergeCell ref="I444:M444"/>
    <mergeCell ref="N444:O444"/>
    <mergeCell ref="P444:S444"/>
    <mergeCell ref="T444:U444"/>
    <mergeCell ref="V444:W444"/>
    <mergeCell ref="X444:Y444"/>
    <mergeCell ref="Z444:AC444"/>
    <mergeCell ref="AD444:AH444"/>
    <mergeCell ref="AI444:AK444"/>
    <mergeCell ref="C445:D445"/>
    <mergeCell ref="E445:H445"/>
    <mergeCell ref="I445:M445"/>
    <mergeCell ref="N445:O445"/>
    <mergeCell ref="P445:S445"/>
    <mergeCell ref="T445:U445"/>
    <mergeCell ref="V445:W445"/>
    <mergeCell ref="X445:Y445"/>
    <mergeCell ref="Z445:AC445"/>
    <mergeCell ref="AD445:AH445"/>
    <mergeCell ref="AI445:AK445"/>
    <mergeCell ref="C446:D446"/>
    <mergeCell ref="E446:H446"/>
    <mergeCell ref="I446:M446"/>
    <mergeCell ref="N446:O446"/>
    <mergeCell ref="P446:S446"/>
    <mergeCell ref="T446:U446"/>
    <mergeCell ref="V446:W446"/>
    <mergeCell ref="X446:Y446"/>
    <mergeCell ref="Z446:AC446"/>
    <mergeCell ref="AD446:AH446"/>
    <mergeCell ref="AI446:AK446"/>
    <mergeCell ref="C447:D447"/>
    <mergeCell ref="E447:H447"/>
    <mergeCell ref="I447:M447"/>
    <mergeCell ref="N447:O447"/>
    <mergeCell ref="P447:S447"/>
    <mergeCell ref="T447:U447"/>
    <mergeCell ref="V447:W447"/>
    <mergeCell ref="X447:Y447"/>
    <mergeCell ref="Z447:AC447"/>
    <mergeCell ref="AD447:AH447"/>
    <mergeCell ref="AI447:AK447"/>
    <mergeCell ref="C448:D448"/>
    <mergeCell ref="E448:H448"/>
    <mergeCell ref="I448:M448"/>
    <mergeCell ref="N448:O448"/>
    <mergeCell ref="P448:S448"/>
    <mergeCell ref="T448:U448"/>
    <mergeCell ref="V448:W448"/>
    <mergeCell ref="X448:Y448"/>
    <mergeCell ref="Z448:AC448"/>
    <mergeCell ref="AD448:AH448"/>
    <mergeCell ref="AI448:AK448"/>
    <mergeCell ref="C449:D449"/>
    <mergeCell ref="E449:H449"/>
    <mergeCell ref="I449:M449"/>
    <mergeCell ref="N449:O449"/>
    <mergeCell ref="P449:S449"/>
    <mergeCell ref="T449:U449"/>
    <mergeCell ref="V449:W449"/>
    <mergeCell ref="X449:Y449"/>
    <mergeCell ref="Z449:AC449"/>
    <mergeCell ref="AD449:AH449"/>
    <mergeCell ref="AI449:AK449"/>
    <mergeCell ref="C450:D450"/>
    <mergeCell ref="E450:H450"/>
    <mergeCell ref="I450:M450"/>
    <mergeCell ref="N450:O450"/>
    <mergeCell ref="P450:S450"/>
    <mergeCell ref="T450:U450"/>
    <mergeCell ref="V450:W450"/>
    <mergeCell ref="X450:Y450"/>
    <mergeCell ref="Z450:AC450"/>
    <mergeCell ref="AD450:AH450"/>
    <mergeCell ref="AI450:AK450"/>
    <mergeCell ref="C451:D451"/>
    <mergeCell ref="E451:H451"/>
    <mergeCell ref="I451:M451"/>
    <mergeCell ref="N451:O451"/>
    <mergeCell ref="P451:S451"/>
    <mergeCell ref="T451:U451"/>
    <mergeCell ref="V451:W451"/>
    <mergeCell ref="X451:Y451"/>
    <mergeCell ref="Z451:AC451"/>
    <mergeCell ref="AD451:AH451"/>
    <mergeCell ref="AI451:AK451"/>
    <mergeCell ref="C452:D452"/>
    <mergeCell ref="E452:H452"/>
    <mergeCell ref="I452:M452"/>
    <mergeCell ref="N452:O452"/>
    <mergeCell ref="P452:S452"/>
    <mergeCell ref="T452:U452"/>
    <mergeCell ref="V452:W452"/>
    <mergeCell ref="X452:Y452"/>
    <mergeCell ref="Z452:AC452"/>
    <mergeCell ref="AD452:AH452"/>
    <mergeCell ref="AI452:AK452"/>
    <mergeCell ref="C453:D453"/>
    <mergeCell ref="E453:H453"/>
    <mergeCell ref="I453:M453"/>
    <mergeCell ref="N453:O453"/>
    <mergeCell ref="P453:S453"/>
    <mergeCell ref="T453:U453"/>
    <mergeCell ref="V453:W453"/>
    <mergeCell ref="X453:Y453"/>
    <mergeCell ref="Z453:AC453"/>
    <mergeCell ref="AD453:AH453"/>
    <mergeCell ref="AI453:AK453"/>
    <mergeCell ref="C454:D454"/>
    <mergeCell ref="E454:H454"/>
    <mergeCell ref="I454:M454"/>
    <mergeCell ref="N454:O454"/>
    <mergeCell ref="P454:S454"/>
    <mergeCell ref="T454:U454"/>
    <mergeCell ref="V454:W454"/>
    <mergeCell ref="X454:Y454"/>
    <mergeCell ref="Z454:AC454"/>
    <mergeCell ref="AD454:AH454"/>
    <mergeCell ref="AI454:AK454"/>
    <mergeCell ref="C455:D455"/>
    <mergeCell ref="E455:H455"/>
    <mergeCell ref="I455:M455"/>
    <mergeCell ref="N455:O455"/>
    <mergeCell ref="P455:S455"/>
    <mergeCell ref="T455:U455"/>
    <mergeCell ref="V455:W455"/>
    <mergeCell ref="X455:Y455"/>
    <mergeCell ref="Z455:AC455"/>
    <mergeCell ref="AD455:AH455"/>
    <mergeCell ref="AI455:AK455"/>
    <mergeCell ref="C456:D456"/>
    <mergeCell ref="E456:H456"/>
    <mergeCell ref="I456:M456"/>
    <mergeCell ref="N456:O456"/>
    <mergeCell ref="P456:S456"/>
    <mergeCell ref="T456:U456"/>
    <mergeCell ref="V456:W456"/>
    <mergeCell ref="X456:Y456"/>
    <mergeCell ref="Z456:AC456"/>
    <mergeCell ref="AD456:AH456"/>
    <mergeCell ref="AI456:AK456"/>
    <mergeCell ref="C457:D457"/>
    <mergeCell ref="E457:H457"/>
    <mergeCell ref="I457:M457"/>
    <mergeCell ref="N457:O457"/>
    <mergeCell ref="P457:S457"/>
    <mergeCell ref="T457:U457"/>
    <mergeCell ref="V457:W457"/>
    <mergeCell ref="X457:Y457"/>
    <mergeCell ref="Z457:AC457"/>
    <mergeCell ref="AD457:AH457"/>
    <mergeCell ref="AI457:AK457"/>
    <mergeCell ref="C458:D458"/>
    <mergeCell ref="E458:H458"/>
    <mergeCell ref="I458:M458"/>
    <mergeCell ref="N458:O458"/>
    <mergeCell ref="P458:S458"/>
    <mergeCell ref="T458:U458"/>
    <mergeCell ref="V458:W458"/>
    <mergeCell ref="X458:Y458"/>
    <mergeCell ref="Z458:AC458"/>
    <mergeCell ref="AD458:AH458"/>
    <mergeCell ref="AI458:AK458"/>
    <mergeCell ref="C459:D459"/>
    <mergeCell ref="E459:H459"/>
    <mergeCell ref="I459:M459"/>
    <mergeCell ref="N459:O459"/>
    <mergeCell ref="P459:S459"/>
    <mergeCell ref="T459:U459"/>
    <mergeCell ref="V459:W459"/>
    <mergeCell ref="X459:Y459"/>
    <mergeCell ref="Z459:AC459"/>
    <mergeCell ref="AD459:AH459"/>
    <mergeCell ref="AI459:AK459"/>
    <mergeCell ref="C460:D460"/>
    <mergeCell ref="E460:H460"/>
    <mergeCell ref="I460:M460"/>
    <mergeCell ref="N460:O460"/>
    <mergeCell ref="P460:S460"/>
    <mergeCell ref="T460:U460"/>
    <mergeCell ref="V460:W460"/>
    <mergeCell ref="X460:Y460"/>
    <mergeCell ref="Z460:AC460"/>
    <mergeCell ref="AD460:AH460"/>
    <mergeCell ref="AI460:AK460"/>
    <mergeCell ref="C461:D461"/>
    <mergeCell ref="E461:H461"/>
    <mergeCell ref="I461:M461"/>
    <mergeCell ref="N461:O461"/>
    <mergeCell ref="P461:S461"/>
    <mergeCell ref="T461:U461"/>
    <mergeCell ref="V461:W461"/>
    <mergeCell ref="X461:Y461"/>
    <mergeCell ref="Z461:AC461"/>
    <mergeCell ref="AD461:AH461"/>
    <mergeCell ref="AI461:AK461"/>
    <mergeCell ref="V462:W462"/>
    <mergeCell ref="C463:D463"/>
    <mergeCell ref="E463:H463"/>
    <mergeCell ref="I463:M463"/>
    <mergeCell ref="N463:O463"/>
    <mergeCell ref="P463:S463"/>
    <mergeCell ref="T463:U463"/>
    <mergeCell ref="V463:W463"/>
    <mergeCell ref="X463:Y463"/>
    <mergeCell ref="Z463:AC463"/>
    <mergeCell ref="AD463:AH463"/>
    <mergeCell ref="AI463:AK463"/>
    <mergeCell ref="C464:D464"/>
    <mergeCell ref="E464:H464"/>
    <mergeCell ref="I464:M464"/>
    <mergeCell ref="N464:O464"/>
    <mergeCell ref="P464:S464"/>
    <mergeCell ref="T464:U464"/>
    <mergeCell ref="V464:W464"/>
    <mergeCell ref="X464:Y464"/>
    <mergeCell ref="Z464:AC464"/>
    <mergeCell ref="AD464:AH464"/>
    <mergeCell ref="AI464:AK464"/>
    <mergeCell ref="C465:D465"/>
    <mergeCell ref="E465:H465"/>
    <mergeCell ref="I465:M465"/>
    <mergeCell ref="N465:O465"/>
    <mergeCell ref="P465:S465"/>
    <mergeCell ref="T465:U465"/>
    <mergeCell ref="V465:W465"/>
    <mergeCell ref="X465:Y465"/>
    <mergeCell ref="Z465:AC465"/>
    <mergeCell ref="AD465:AH465"/>
    <mergeCell ref="AI465:AK465"/>
    <mergeCell ref="C466:D466"/>
    <mergeCell ref="E466:H466"/>
    <mergeCell ref="I466:M466"/>
    <mergeCell ref="N466:O466"/>
    <mergeCell ref="P466:S466"/>
    <mergeCell ref="T466:U466"/>
    <mergeCell ref="V466:W466"/>
    <mergeCell ref="X466:Y466"/>
    <mergeCell ref="Z466:AC466"/>
    <mergeCell ref="AD466:AH466"/>
    <mergeCell ref="AI466:AK466"/>
    <mergeCell ref="C467:D467"/>
    <mergeCell ref="E467:H467"/>
    <mergeCell ref="I467:M467"/>
    <mergeCell ref="N467:O467"/>
    <mergeCell ref="P467:S467"/>
    <mergeCell ref="T467:U467"/>
    <mergeCell ref="V467:W467"/>
    <mergeCell ref="X467:Y467"/>
    <mergeCell ref="Z467:AC467"/>
    <mergeCell ref="AD467:AH467"/>
    <mergeCell ref="AI467:AK467"/>
    <mergeCell ref="C468:D468"/>
    <mergeCell ref="E468:H468"/>
    <mergeCell ref="I468:M468"/>
    <mergeCell ref="N468:O468"/>
    <mergeCell ref="P468:S468"/>
    <mergeCell ref="T468:U468"/>
    <mergeCell ref="V468:W468"/>
    <mergeCell ref="X468:Y468"/>
    <mergeCell ref="Z468:AC468"/>
    <mergeCell ref="AD468:AH468"/>
    <mergeCell ref="AI468:AK468"/>
    <mergeCell ref="C469:D469"/>
    <mergeCell ref="E469:H469"/>
    <mergeCell ref="I469:M469"/>
    <mergeCell ref="N469:O469"/>
    <mergeCell ref="P469:S469"/>
    <mergeCell ref="T469:U469"/>
    <mergeCell ref="V469:W469"/>
    <mergeCell ref="X469:Y469"/>
    <mergeCell ref="Z469:AC469"/>
    <mergeCell ref="AD469:AH469"/>
    <mergeCell ref="AI469:AK469"/>
    <mergeCell ref="C470:D470"/>
    <mergeCell ref="E470:H470"/>
    <mergeCell ref="I470:M470"/>
    <mergeCell ref="N470:O470"/>
    <mergeCell ref="P470:S470"/>
    <mergeCell ref="T470:U470"/>
    <mergeCell ref="V470:W470"/>
    <mergeCell ref="X470:Y470"/>
    <mergeCell ref="Z470:AC470"/>
    <mergeCell ref="AD470:AH470"/>
    <mergeCell ref="AI470:AK470"/>
    <mergeCell ref="C471:D471"/>
    <mergeCell ref="E471:H471"/>
    <mergeCell ref="I471:M471"/>
    <mergeCell ref="N471:O471"/>
    <mergeCell ref="P471:S471"/>
    <mergeCell ref="T471:U471"/>
    <mergeCell ref="V471:W471"/>
    <mergeCell ref="X471:Y471"/>
    <mergeCell ref="Z471:AC471"/>
    <mergeCell ref="AD471:AH471"/>
    <mergeCell ref="AI471:AK471"/>
    <mergeCell ref="C472:D472"/>
    <mergeCell ref="E472:H472"/>
    <mergeCell ref="I472:M472"/>
    <mergeCell ref="N472:O472"/>
    <mergeCell ref="P472:S472"/>
    <mergeCell ref="T472:U472"/>
    <mergeCell ref="V472:W472"/>
    <mergeCell ref="X472:Y472"/>
    <mergeCell ref="Z472:AC472"/>
    <mergeCell ref="AD472:AH472"/>
    <mergeCell ref="AI472:AK472"/>
    <mergeCell ref="C473:D473"/>
    <mergeCell ref="E473:H473"/>
    <mergeCell ref="I473:M473"/>
    <mergeCell ref="N473:O473"/>
    <mergeCell ref="P473:S473"/>
    <mergeCell ref="T473:U473"/>
    <mergeCell ref="V473:W473"/>
    <mergeCell ref="X473:Y473"/>
    <mergeCell ref="Z473:AC473"/>
    <mergeCell ref="AD473:AH473"/>
    <mergeCell ref="AI473:AK473"/>
    <mergeCell ref="C474:D474"/>
    <mergeCell ref="E474:H474"/>
    <mergeCell ref="I474:M474"/>
    <mergeCell ref="N474:O474"/>
    <mergeCell ref="P474:S474"/>
    <mergeCell ref="T474:U474"/>
    <mergeCell ref="V474:W474"/>
    <mergeCell ref="X474:Y474"/>
    <mergeCell ref="Z474:AC474"/>
    <mergeCell ref="AD474:AH474"/>
    <mergeCell ref="AI474:AK474"/>
    <mergeCell ref="C475:D475"/>
    <mergeCell ref="E475:H475"/>
    <mergeCell ref="I475:M475"/>
    <mergeCell ref="N475:O475"/>
    <mergeCell ref="P475:S475"/>
    <mergeCell ref="T475:U475"/>
    <mergeCell ref="V475:W475"/>
    <mergeCell ref="X475:Y475"/>
    <mergeCell ref="Z475:AC475"/>
    <mergeCell ref="AD475:AH475"/>
    <mergeCell ref="AI475:AK475"/>
    <mergeCell ref="C476:D476"/>
    <mergeCell ref="E476:H476"/>
    <mergeCell ref="I476:M476"/>
    <mergeCell ref="N476:O476"/>
    <mergeCell ref="P476:S476"/>
    <mergeCell ref="T476:U476"/>
    <mergeCell ref="V476:W476"/>
    <mergeCell ref="X476:Y476"/>
    <mergeCell ref="Z476:AC476"/>
    <mergeCell ref="AD476:AH476"/>
    <mergeCell ref="AI476:AK476"/>
    <mergeCell ref="C477:D477"/>
    <mergeCell ref="E477:H477"/>
    <mergeCell ref="I477:M477"/>
    <mergeCell ref="N477:O477"/>
    <mergeCell ref="P477:S477"/>
    <mergeCell ref="T477:U477"/>
    <mergeCell ref="V477:W477"/>
    <mergeCell ref="X477:Y477"/>
    <mergeCell ref="Z477:AC477"/>
    <mergeCell ref="AD477:AH477"/>
    <mergeCell ref="AI477:AK477"/>
    <mergeCell ref="C478:D478"/>
    <mergeCell ref="E478:H478"/>
    <mergeCell ref="I478:M478"/>
    <mergeCell ref="N478:O478"/>
    <mergeCell ref="P478:S478"/>
    <mergeCell ref="T478:U478"/>
    <mergeCell ref="V478:W478"/>
    <mergeCell ref="X478:Y478"/>
    <mergeCell ref="Z478:AC478"/>
    <mergeCell ref="AD478:AH478"/>
    <mergeCell ref="AI478:AK478"/>
    <mergeCell ref="C479:D479"/>
    <mergeCell ref="E479:H479"/>
    <mergeCell ref="I479:M479"/>
    <mergeCell ref="N479:O479"/>
    <mergeCell ref="P479:S479"/>
    <mergeCell ref="T479:U479"/>
    <mergeCell ref="V479:W479"/>
    <mergeCell ref="X479:Y479"/>
    <mergeCell ref="Z479:AC479"/>
    <mergeCell ref="AD479:AH479"/>
    <mergeCell ref="AI479:AK479"/>
    <mergeCell ref="C480:D480"/>
    <mergeCell ref="E480:H480"/>
    <mergeCell ref="I480:M480"/>
    <mergeCell ref="N480:O480"/>
    <mergeCell ref="P480:S480"/>
    <mergeCell ref="T480:U480"/>
    <mergeCell ref="V480:W480"/>
    <mergeCell ref="X480:Y480"/>
    <mergeCell ref="Z480:AC480"/>
    <mergeCell ref="AD480:AH480"/>
    <mergeCell ref="AI480:AK480"/>
    <mergeCell ref="C481:D481"/>
    <mergeCell ref="E481:H481"/>
    <mergeCell ref="I481:M481"/>
    <mergeCell ref="N481:O481"/>
    <mergeCell ref="P481:S481"/>
    <mergeCell ref="T481:U481"/>
    <mergeCell ref="V481:W481"/>
    <mergeCell ref="X481:Y481"/>
    <mergeCell ref="Z481:AC481"/>
    <mergeCell ref="AD481:AH481"/>
    <mergeCell ref="AI481:AK481"/>
    <mergeCell ref="C482:D482"/>
    <mergeCell ref="E482:H482"/>
    <mergeCell ref="I482:M482"/>
    <mergeCell ref="N482:O482"/>
    <mergeCell ref="P482:S482"/>
    <mergeCell ref="T482:U482"/>
    <mergeCell ref="V482:W482"/>
    <mergeCell ref="X482:Y482"/>
    <mergeCell ref="Z482:AC482"/>
    <mergeCell ref="AD482:AH482"/>
    <mergeCell ref="AI482:AK482"/>
    <mergeCell ref="C483:D483"/>
    <mergeCell ref="E483:H483"/>
    <mergeCell ref="I483:M483"/>
    <mergeCell ref="N483:O483"/>
    <mergeCell ref="P483:S483"/>
    <mergeCell ref="T483:U483"/>
    <mergeCell ref="V483:W483"/>
    <mergeCell ref="X483:Y483"/>
    <mergeCell ref="Z483:AC483"/>
    <mergeCell ref="AD483:AH483"/>
    <mergeCell ref="AI483:AK483"/>
    <mergeCell ref="C484:D484"/>
    <mergeCell ref="E484:H484"/>
    <mergeCell ref="I484:M484"/>
    <mergeCell ref="N484:O484"/>
    <mergeCell ref="P484:S484"/>
    <mergeCell ref="T484:U484"/>
    <mergeCell ref="V484:W484"/>
    <mergeCell ref="X484:Y484"/>
    <mergeCell ref="Z484:AC484"/>
    <mergeCell ref="AD484:AH484"/>
    <mergeCell ref="AI484:AK484"/>
    <mergeCell ref="C485:D485"/>
    <mergeCell ref="E485:H485"/>
    <mergeCell ref="I485:M485"/>
    <mergeCell ref="N485:O485"/>
    <mergeCell ref="P485:S485"/>
    <mergeCell ref="T485:U485"/>
    <mergeCell ref="V485:W485"/>
    <mergeCell ref="X485:Y485"/>
    <mergeCell ref="Z485:AC485"/>
    <mergeCell ref="AD485:AH485"/>
    <mergeCell ref="AI485:AK485"/>
    <mergeCell ref="C486:D486"/>
    <mergeCell ref="E486:H486"/>
    <mergeCell ref="I486:M486"/>
    <mergeCell ref="N486:O486"/>
    <mergeCell ref="P486:S486"/>
    <mergeCell ref="T486:U486"/>
    <mergeCell ref="V486:W486"/>
    <mergeCell ref="X486:Y486"/>
    <mergeCell ref="Z486:AC486"/>
    <mergeCell ref="AD486:AH486"/>
    <mergeCell ref="AI486:AK486"/>
    <mergeCell ref="C487:D487"/>
    <mergeCell ref="E487:H487"/>
    <mergeCell ref="I487:M487"/>
    <mergeCell ref="N487:O487"/>
    <mergeCell ref="P487:S487"/>
    <mergeCell ref="T487:U487"/>
    <mergeCell ref="V487:W487"/>
    <mergeCell ref="X487:Y487"/>
    <mergeCell ref="Z487:AC487"/>
    <mergeCell ref="AD487:AH487"/>
    <mergeCell ref="AI487:AK487"/>
    <mergeCell ref="C488:D488"/>
    <mergeCell ref="E488:H488"/>
    <mergeCell ref="I488:M488"/>
    <mergeCell ref="N488:O488"/>
    <mergeCell ref="P488:S488"/>
    <mergeCell ref="T488:U488"/>
    <mergeCell ref="V488:W488"/>
    <mergeCell ref="X488:Y488"/>
    <mergeCell ref="Z488:AC488"/>
    <mergeCell ref="AD488:AH488"/>
    <mergeCell ref="AI488:AK488"/>
    <mergeCell ref="C489:D489"/>
    <mergeCell ref="E489:H489"/>
    <mergeCell ref="I489:M489"/>
    <mergeCell ref="N489:O489"/>
    <mergeCell ref="P489:S489"/>
    <mergeCell ref="T489:U489"/>
    <mergeCell ref="V489:W489"/>
    <mergeCell ref="X489:Y489"/>
    <mergeCell ref="Z489:AC489"/>
    <mergeCell ref="AD489:AH489"/>
    <mergeCell ref="AI489:AK489"/>
    <mergeCell ref="C490:D490"/>
    <mergeCell ref="E490:H490"/>
    <mergeCell ref="I490:M490"/>
    <mergeCell ref="N490:O490"/>
    <mergeCell ref="P490:S490"/>
    <mergeCell ref="T490:U490"/>
    <mergeCell ref="V490:W490"/>
    <mergeCell ref="X490:Y490"/>
    <mergeCell ref="Z490:AC490"/>
    <mergeCell ref="AD490:AH490"/>
    <mergeCell ref="AI490:AK490"/>
    <mergeCell ref="C491:D491"/>
    <mergeCell ref="E491:H491"/>
    <mergeCell ref="I491:M491"/>
    <mergeCell ref="N491:O491"/>
    <mergeCell ref="P491:S491"/>
    <mergeCell ref="T491:U491"/>
    <mergeCell ref="V491:W491"/>
    <mergeCell ref="X491:Y491"/>
    <mergeCell ref="Z491:AC491"/>
    <mergeCell ref="AD491:AH491"/>
    <mergeCell ref="AI491:AK491"/>
    <mergeCell ref="C492:D492"/>
    <mergeCell ref="E492:H492"/>
    <mergeCell ref="I492:M492"/>
    <mergeCell ref="N492:O492"/>
    <mergeCell ref="P492:S492"/>
    <mergeCell ref="T492:U492"/>
    <mergeCell ref="V492:W492"/>
    <mergeCell ref="X492:Y492"/>
    <mergeCell ref="Z492:AC492"/>
    <mergeCell ref="AD492:AH492"/>
    <mergeCell ref="AI492:AK492"/>
    <mergeCell ref="C493:D493"/>
    <mergeCell ref="E493:H493"/>
    <mergeCell ref="I493:M493"/>
    <mergeCell ref="N493:O493"/>
    <mergeCell ref="P493:S493"/>
    <mergeCell ref="T493:U493"/>
    <mergeCell ref="V493:W493"/>
    <mergeCell ref="X493:Y493"/>
    <mergeCell ref="Z493:AC493"/>
    <mergeCell ref="AD493:AH493"/>
    <mergeCell ref="AI493:AK493"/>
    <mergeCell ref="C494:D494"/>
    <mergeCell ref="E494:H494"/>
    <mergeCell ref="I494:M494"/>
    <mergeCell ref="N494:O494"/>
    <mergeCell ref="P494:S494"/>
    <mergeCell ref="T494:U494"/>
    <mergeCell ref="V494:W494"/>
    <mergeCell ref="X494:Y494"/>
    <mergeCell ref="Z494:AC494"/>
    <mergeCell ref="AD494:AH494"/>
    <mergeCell ref="AI494:AK494"/>
    <mergeCell ref="C495:D495"/>
    <mergeCell ref="E495:H495"/>
    <mergeCell ref="I495:M495"/>
    <mergeCell ref="N495:O495"/>
    <mergeCell ref="P495:S495"/>
    <mergeCell ref="T495:U495"/>
    <mergeCell ref="V495:W495"/>
    <mergeCell ref="X495:Y495"/>
    <mergeCell ref="Z495:AC495"/>
    <mergeCell ref="AD495:AH495"/>
    <mergeCell ref="AI495:AK495"/>
    <mergeCell ref="C496:D496"/>
    <mergeCell ref="E496:H496"/>
    <mergeCell ref="I496:M496"/>
    <mergeCell ref="N496:O496"/>
    <mergeCell ref="P496:S496"/>
    <mergeCell ref="T496:U496"/>
    <mergeCell ref="V496:W496"/>
    <mergeCell ref="X496:Y496"/>
    <mergeCell ref="Z496:AC496"/>
    <mergeCell ref="AD496:AH496"/>
    <mergeCell ref="AI496:AK496"/>
    <mergeCell ref="C497:D497"/>
    <mergeCell ref="E497:H497"/>
    <mergeCell ref="I497:M497"/>
    <mergeCell ref="N497:O497"/>
    <mergeCell ref="P497:S497"/>
    <mergeCell ref="T497:U497"/>
    <mergeCell ref="V497:W497"/>
    <mergeCell ref="X497:Y497"/>
    <mergeCell ref="Z497:AC497"/>
    <mergeCell ref="AD497:AH497"/>
    <mergeCell ref="AI497:AK497"/>
    <mergeCell ref="C498:D498"/>
    <mergeCell ref="E498:H498"/>
    <mergeCell ref="I498:M498"/>
    <mergeCell ref="N498:O498"/>
    <mergeCell ref="P498:S498"/>
    <mergeCell ref="T498:U498"/>
    <mergeCell ref="V498:W498"/>
    <mergeCell ref="X498:Y498"/>
    <mergeCell ref="Z498:AC498"/>
    <mergeCell ref="AD498:AH498"/>
    <mergeCell ref="AI498:AK498"/>
    <mergeCell ref="C499:D499"/>
    <mergeCell ref="E499:H499"/>
    <mergeCell ref="I499:M499"/>
    <mergeCell ref="N499:O499"/>
    <mergeCell ref="P499:S499"/>
    <mergeCell ref="T499:U499"/>
    <mergeCell ref="V499:W499"/>
    <mergeCell ref="X499:Y499"/>
    <mergeCell ref="Z499:AC499"/>
    <mergeCell ref="AD499:AH499"/>
    <mergeCell ref="AI499:AK499"/>
    <mergeCell ref="C500:D500"/>
    <mergeCell ref="E500:H500"/>
    <mergeCell ref="I500:M500"/>
    <mergeCell ref="N500:O500"/>
    <mergeCell ref="P500:S500"/>
    <mergeCell ref="T500:U500"/>
    <mergeCell ref="V500:W500"/>
    <mergeCell ref="X500:Y500"/>
    <mergeCell ref="Z500:AC500"/>
    <mergeCell ref="AD500:AH500"/>
    <mergeCell ref="AI500:AK500"/>
    <mergeCell ref="C501:D501"/>
    <mergeCell ref="E501:H501"/>
    <mergeCell ref="I501:M501"/>
    <mergeCell ref="N501:O501"/>
    <mergeCell ref="P501:S501"/>
    <mergeCell ref="T501:U501"/>
    <mergeCell ref="V501:W501"/>
    <mergeCell ref="X501:Y501"/>
    <mergeCell ref="Z501:AC501"/>
    <mergeCell ref="AD501:AH501"/>
    <mergeCell ref="AI501:AK501"/>
    <mergeCell ref="C502:D502"/>
    <mergeCell ref="E502:H502"/>
    <mergeCell ref="I502:M502"/>
    <mergeCell ref="N502:O502"/>
    <mergeCell ref="P502:S502"/>
    <mergeCell ref="T502:U502"/>
    <mergeCell ref="V502:W502"/>
    <mergeCell ref="X502:Y502"/>
    <mergeCell ref="Z502:AC502"/>
    <mergeCell ref="AD502:AH502"/>
    <mergeCell ref="AI502:AK502"/>
    <mergeCell ref="V503:W503"/>
    <mergeCell ref="C504:D504"/>
    <mergeCell ref="E504:H504"/>
    <mergeCell ref="I504:M504"/>
    <mergeCell ref="N504:O504"/>
    <mergeCell ref="P504:S504"/>
    <mergeCell ref="T504:U504"/>
    <mergeCell ref="V504:W504"/>
    <mergeCell ref="X504:Y504"/>
    <mergeCell ref="Z504:AC504"/>
    <mergeCell ref="AD504:AH504"/>
    <mergeCell ref="AI504:AK504"/>
    <mergeCell ref="C505:D505"/>
    <mergeCell ref="E505:H505"/>
    <mergeCell ref="I505:M505"/>
    <mergeCell ref="N505:O505"/>
    <mergeCell ref="P505:S505"/>
    <mergeCell ref="T505:U505"/>
    <mergeCell ref="V505:W505"/>
    <mergeCell ref="X505:Y505"/>
    <mergeCell ref="Z505:AC505"/>
    <mergeCell ref="AD505:AH505"/>
    <mergeCell ref="AI505:AK505"/>
    <mergeCell ref="C506:D506"/>
    <mergeCell ref="E506:H506"/>
    <mergeCell ref="I506:M506"/>
    <mergeCell ref="N506:O506"/>
    <mergeCell ref="P506:S506"/>
    <mergeCell ref="T506:U506"/>
    <mergeCell ref="V506:W506"/>
    <mergeCell ref="X506:Y506"/>
    <mergeCell ref="Z506:AC506"/>
    <mergeCell ref="AD506:AH506"/>
    <mergeCell ref="AI506:AK506"/>
    <mergeCell ref="C507:D507"/>
    <mergeCell ref="E507:H507"/>
    <mergeCell ref="I507:M507"/>
    <mergeCell ref="N507:O507"/>
    <mergeCell ref="P507:S507"/>
    <mergeCell ref="T507:U507"/>
    <mergeCell ref="V507:W507"/>
    <mergeCell ref="X507:Y507"/>
    <mergeCell ref="Z507:AC507"/>
    <mergeCell ref="AD507:AH507"/>
    <mergeCell ref="AI507:AK507"/>
    <mergeCell ref="C508:D508"/>
    <mergeCell ref="E508:H508"/>
    <mergeCell ref="I508:M508"/>
    <mergeCell ref="N508:O508"/>
    <mergeCell ref="P508:S508"/>
    <mergeCell ref="T508:U508"/>
    <mergeCell ref="V508:W508"/>
    <mergeCell ref="X508:Y508"/>
    <mergeCell ref="Z508:AC508"/>
    <mergeCell ref="AD508:AH508"/>
    <mergeCell ref="AI508:AK508"/>
    <mergeCell ref="C509:D509"/>
    <mergeCell ref="E509:H509"/>
    <mergeCell ref="I509:M509"/>
    <mergeCell ref="N509:O509"/>
    <mergeCell ref="P509:S509"/>
    <mergeCell ref="T509:U509"/>
    <mergeCell ref="V509:W509"/>
    <mergeCell ref="X509:Y509"/>
    <mergeCell ref="Z509:AC509"/>
    <mergeCell ref="AD509:AH509"/>
    <mergeCell ref="AI509:AK509"/>
    <mergeCell ref="C510:D510"/>
    <mergeCell ref="E510:H510"/>
    <mergeCell ref="I510:M510"/>
    <mergeCell ref="N510:O510"/>
    <mergeCell ref="P510:S510"/>
    <mergeCell ref="T510:U510"/>
    <mergeCell ref="V510:W510"/>
    <mergeCell ref="X510:Y510"/>
    <mergeCell ref="Z510:AC510"/>
    <mergeCell ref="AD510:AH510"/>
    <mergeCell ref="AI510:AK510"/>
    <mergeCell ref="C511:D511"/>
    <mergeCell ref="E511:H511"/>
    <mergeCell ref="I511:M511"/>
    <mergeCell ref="N511:O511"/>
    <mergeCell ref="P511:S511"/>
    <mergeCell ref="T511:U511"/>
    <mergeCell ref="V511:W511"/>
    <mergeCell ref="X511:Y511"/>
    <mergeCell ref="Z511:AC511"/>
    <mergeCell ref="AD511:AH511"/>
    <mergeCell ref="AI511:AK511"/>
    <mergeCell ref="C512:D512"/>
    <mergeCell ref="E512:H512"/>
    <mergeCell ref="I512:M512"/>
    <mergeCell ref="N512:O512"/>
    <mergeCell ref="P512:S512"/>
    <mergeCell ref="T512:U512"/>
    <mergeCell ref="V512:W512"/>
    <mergeCell ref="X512:Y512"/>
    <mergeCell ref="Z512:AC512"/>
    <mergeCell ref="AD512:AH512"/>
    <mergeCell ref="AI512:AK512"/>
    <mergeCell ref="C513:D513"/>
    <mergeCell ref="E513:H513"/>
    <mergeCell ref="I513:M513"/>
    <mergeCell ref="N513:O513"/>
    <mergeCell ref="P513:S513"/>
    <mergeCell ref="T513:U513"/>
    <mergeCell ref="V513:W513"/>
    <mergeCell ref="X513:Y513"/>
    <mergeCell ref="Z513:AC513"/>
    <mergeCell ref="AD513:AH513"/>
    <mergeCell ref="AI513:AK513"/>
    <mergeCell ref="C514:D514"/>
    <mergeCell ref="E514:H514"/>
    <mergeCell ref="I514:M514"/>
    <mergeCell ref="N514:O514"/>
    <mergeCell ref="P514:S514"/>
    <mergeCell ref="T514:U514"/>
    <mergeCell ref="V514:W514"/>
    <mergeCell ref="X514:Y514"/>
    <mergeCell ref="Z514:AC514"/>
    <mergeCell ref="AD514:AH514"/>
    <mergeCell ref="AI514:AK514"/>
    <mergeCell ref="C515:D515"/>
    <mergeCell ref="E515:H515"/>
    <mergeCell ref="I515:M515"/>
    <mergeCell ref="N515:O515"/>
    <mergeCell ref="P515:S515"/>
    <mergeCell ref="T515:U515"/>
    <mergeCell ref="V515:W515"/>
    <mergeCell ref="X515:Y515"/>
    <mergeCell ref="Z515:AC515"/>
    <mergeCell ref="AD515:AH515"/>
    <mergeCell ref="AI515:AK515"/>
    <mergeCell ref="C516:D516"/>
    <mergeCell ref="E516:H516"/>
    <mergeCell ref="I516:M516"/>
    <mergeCell ref="N516:O516"/>
    <mergeCell ref="P516:S516"/>
    <mergeCell ref="T516:U516"/>
    <mergeCell ref="V516:W516"/>
    <mergeCell ref="X516:Y516"/>
    <mergeCell ref="Z516:AC516"/>
    <mergeCell ref="AD516:AH516"/>
    <mergeCell ref="AI516:AK516"/>
    <mergeCell ref="C517:D517"/>
    <mergeCell ref="E517:H517"/>
    <mergeCell ref="I517:M517"/>
    <mergeCell ref="N517:O517"/>
    <mergeCell ref="P517:S517"/>
    <mergeCell ref="T517:U517"/>
    <mergeCell ref="V517:W517"/>
    <mergeCell ref="X517:Y517"/>
    <mergeCell ref="Z517:AC517"/>
    <mergeCell ref="AD517:AH517"/>
    <mergeCell ref="AI517:AK517"/>
    <mergeCell ref="C518:D518"/>
    <mergeCell ref="E518:H518"/>
    <mergeCell ref="I518:M518"/>
    <mergeCell ref="N518:O518"/>
    <mergeCell ref="P518:S518"/>
    <mergeCell ref="T518:U518"/>
    <mergeCell ref="V518:W518"/>
    <mergeCell ref="X518:Y518"/>
    <mergeCell ref="Z518:AC518"/>
    <mergeCell ref="AD518:AH518"/>
    <mergeCell ref="AI518:AK518"/>
    <mergeCell ref="C519:D519"/>
    <mergeCell ref="E519:H519"/>
    <mergeCell ref="I519:M519"/>
    <mergeCell ref="N519:O519"/>
    <mergeCell ref="P519:S519"/>
    <mergeCell ref="T519:U519"/>
    <mergeCell ref="V519:W519"/>
    <mergeCell ref="X519:Y519"/>
    <mergeCell ref="Z519:AC519"/>
    <mergeCell ref="AD519:AH519"/>
    <mergeCell ref="AI519:AK519"/>
    <mergeCell ref="C520:D520"/>
    <mergeCell ref="E520:H520"/>
    <mergeCell ref="I520:M520"/>
    <mergeCell ref="N520:O520"/>
    <mergeCell ref="P520:S520"/>
    <mergeCell ref="T520:U520"/>
    <mergeCell ref="V520:W520"/>
    <mergeCell ref="X520:Y520"/>
    <mergeCell ref="Z520:AC520"/>
    <mergeCell ref="AD520:AH520"/>
    <mergeCell ref="AI520:AK520"/>
    <mergeCell ref="C521:D521"/>
    <mergeCell ref="E521:H521"/>
    <mergeCell ref="I521:M521"/>
    <mergeCell ref="N521:O521"/>
    <mergeCell ref="P521:S521"/>
    <mergeCell ref="T521:U521"/>
    <mergeCell ref="V521:W521"/>
    <mergeCell ref="X521:Y521"/>
    <mergeCell ref="Z521:AC521"/>
    <mergeCell ref="AD521:AH521"/>
    <mergeCell ref="AI521:AK521"/>
    <mergeCell ref="C522:D522"/>
    <mergeCell ref="E522:H522"/>
    <mergeCell ref="I522:M522"/>
    <mergeCell ref="N522:O522"/>
    <mergeCell ref="P522:S522"/>
    <mergeCell ref="T522:U522"/>
    <mergeCell ref="V522:W522"/>
    <mergeCell ref="X522:Y522"/>
    <mergeCell ref="Z522:AC522"/>
    <mergeCell ref="AD522:AH522"/>
    <mergeCell ref="AI522:AK522"/>
    <mergeCell ref="C523:D523"/>
    <mergeCell ref="E523:H523"/>
    <mergeCell ref="I523:M523"/>
    <mergeCell ref="N523:O523"/>
    <mergeCell ref="P523:S523"/>
    <mergeCell ref="T523:U523"/>
    <mergeCell ref="V523:W523"/>
    <mergeCell ref="X523:Y523"/>
    <mergeCell ref="Z523:AC523"/>
    <mergeCell ref="AD523:AH523"/>
    <mergeCell ref="AI523:AK523"/>
    <mergeCell ref="C524:D524"/>
    <mergeCell ref="E524:H524"/>
    <mergeCell ref="I524:M524"/>
    <mergeCell ref="N524:O524"/>
    <mergeCell ref="P524:S524"/>
    <mergeCell ref="T524:U524"/>
    <mergeCell ref="V524:W524"/>
    <mergeCell ref="X524:Y524"/>
    <mergeCell ref="Z524:AC524"/>
    <mergeCell ref="AD524:AH524"/>
    <mergeCell ref="AI524:AK524"/>
    <mergeCell ref="C525:D525"/>
    <mergeCell ref="E525:H525"/>
    <mergeCell ref="I525:M525"/>
    <mergeCell ref="N525:O525"/>
    <mergeCell ref="P525:S525"/>
    <mergeCell ref="T525:U525"/>
    <mergeCell ref="V525:W525"/>
    <mergeCell ref="X525:Y525"/>
    <mergeCell ref="Z525:AC525"/>
    <mergeCell ref="AD525:AH525"/>
    <mergeCell ref="AI525:AK525"/>
    <mergeCell ref="C526:D526"/>
    <mergeCell ref="E526:H526"/>
    <mergeCell ref="I526:M526"/>
    <mergeCell ref="N526:O526"/>
    <mergeCell ref="P526:S526"/>
    <mergeCell ref="T526:U526"/>
    <mergeCell ref="V526:W526"/>
    <mergeCell ref="X526:Y526"/>
    <mergeCell ref="Z526:AC526"/>
    <mergeCell ref="AD526:AH526"/>
    <mergeCell ref="AI526:AK526"/>
    <mergeCell ref="C527:D527"/>
    <mergeCell ref="E527:H527"/>
    <mergeCell ref="I527:M527"/>
    <mergeCell ref="N527:O527"/>
    <mergeCell ref="P527:S527"/>
    <mergeCell ref="T527:U527"/>
    <mergeCell ref="V527:W527"/>
    <mergeCell ref="X527:Y527"/>
    <mergeCell ref="Z527:AC527"/>
    <mergeCell ref="AD527:AH527"/>
    <mergeCell ref="AI527:AK527"/>
    <mergeCell ref="C528:D528"/>
    <mergeCell ref="E528:H528"/>
    <mergeCell ref="I528:M528"/>
    <mergeCell ref="N528:O528"/>
    <mergeCell ref="P528:S528"/>
    <mergeCell ref="T528:U528"/>
    <mergeCell ref="V528:W528"/>
    <mergeCell ref="X528:Y528"/>
    <mergeCell ref="Z528:AC528"/>
    <mergeCell ref="AD528:AH528"/>
    <mergeCell ref="AI528:AK528"/>
    <mergeCell ref="C529:D529"/>
    <mergeCell ref="E529:H529"/>
    <mergeCell ref="I529:M529"/>
    <mergeCell ref="N529:O529"/>
    <mergeCell ref="P529:S529"/>
    <mergeCell ref="T529:U529"/>
    <mergeCell ref="V529:W529"/>
    <mergeCell ref="X529:Y529"/>
    <mergeCell ref="Z529:AC529"/>
    <mergeCell ref="AD529:AH529"/>
    <mergeCell ref="AI529:AK529"/>
    <mergeCell ref="C530:D530"/>
    <mergeCell ref="E530:H530"/>
    <mergeCell ref="I530:M530"/>
    <mergeCell ref="N530:O530"/>
    <mergeCell ref="P530:S530"/>
    <mergeCell ref="T530:U530"/>
    <mergeCell ref="V530:W530"/>
    <mergeCell ref="X530:Y530"/>
    <mergeCell ref="Z530:AC530"/>
    <mergeCell ref="AD530:AH530"/>
    <mergeCell ref="AI530:AK530"/>
    <mergeCell ref="C531:D531"/>
    <mergeCell ref="E531:H531"/>
    <mergeCell ref="I531:M531"/>
    <mergeCell ref="N531:O531"/>
    <mergeCell ref="P531:S531"/>
    <mergeCell ref="T531:U531"/>
    <mergeCell ref="V531:W531"/>
    <mergeCell ref="X531:Y531"/>
    <mergeCell ref="Z531:AC531"/>
    <mergeCell ref="AD531:AH531"/>
    <mergeCell ref="AI531:AK531"/>
    <mergeCell ref="C532:D532"/>
    <mergeCell ref="E532:H532"/>
    <mergeCell ref="I532:M532"/>
    <mergeCell ref="N532:O532"/>
    <mergeCell ref="P532:S532"/>
    <mergeCell ref="T532:U532"/>
    <mergeCell ref="V532:W532"/>
    <mergeCell ref="X532:Y532"/>
    <mergeCell ref="Z532:AC532"/>
    <mergeCell ref="AD532:AH532"/>
    <mergeCell ref="AI532:AK532"/>
    <mergeCell ref="C533:D533"/>
    <mergeCell ref="E533:H533"/>
    <mergeCell ref="I533:M533"/>
    <mergeCell ref="N533:O533"/>
    <mergeCell ref="P533:S533"/>
    <mergeCell ref="T533:U533"/>
    <mergeCell ref="V533:W533"/>
    <mergeCell ref="X533:Y533"/>
    <mergeCell ref="Z533:AC533"/>
    <mergeCell ref="AD533:AH533"/>
    <mergeCell ref="AI533:AK533"/>
    <mergeCell ref="C534:D534"/>
    <mergeCell ref="E534:H534"/>
    <mergeCell ref="I534:M534"/>
    <mergeCell ref="N534:O534"/>
    <mergeCell ref="P534:S534"/>
    <mergeCell ref="T534:U534"/>
    <mergeCell ref="V534:W534"/>
    <mergeCell ref="X534:Y534"/>
    <mergeCell ref="Z534:AC534"/>
    <mergeCell ref="AD534:AH534"/>
    <mergeCell ref="AI534:AK534"/>
    <mergeCell ref="C535:D535"/>
    <mergeCell ref="E535:H535"/>
    <mergeCell ref="I535:M535"/>
    <mergeCell ref="N535:O535"/>
    <mergeCell ref="P535:S535"/>
    <mergeCell ref="T535:U535"/>
    <mergeCell ref="V535:W535"/>
    <mergeCell ref="X535:Y535"/>
    <mergeCell ref="Z535:AC535"/>
    <mergeCell ref="AD535:AH535"/>
    <mergeCell ref="AI535:AK535"/>
    <mergeCell ref="C536:D536"/>
    <mergeCell ref="E536:H536"/>
    <mergeCell ref="I536:M536"/>
    <mergeCell ref="N536:O536"/>
    <mergeCell ref="P536:S536"/>
    <mergeCell ref="T536:U536"/>
    <mergeCell ref="V536:W536"/>
    <mergeCell ref="X536:Y536"/>
    <mergeCell ref="Z536:AC536"/>
    <mergeCell ref="AD536:AH536"/>
    <mergeCell ref="AI536:AK536"/>
    <mergeCell ref="C537:D537"/>
    <mergeCell ref="E537:H537"/>
    <mergeCell ref="I537:M537"/>
    <mergeCell ref="N537:O537"/>
    <mergeCell ref="P537:S537"/>
    <mergeCell ref="T537:U537"/>
    <mergeCell ref="V537:W537"/>
    <mergeCell ref="X537:Y537"/>
    <mergeCell ref="Z537:AC537"/>
    <mergeCell ref="AD537:AH537"/>
    <mergeCell ref="AI537:AK537"/>
    <mergeCell ref="C538:D538"/>
    <mergeCell ref="E538:H538"/>
    <mergeCell ref="I538:M538"/>
    <mergeCell ref="N538:O538"/>
    <mergeCell ref="P538:S538"/>
    <mergeCell ref="T538:U538"/>
    <mergeCell ref="V538:W538"/>
    <mergeCell ref="X538:Y538"/>
    <mergeCell ref="Z538:AC538"/>
    <mergeCell ref="AD538:AH538"/>
    <mergeCell ref="AI538:AK538"/>
    <mergeCell ref="C539:D539"/>
    <mergeCell ref="E539:H539"/>
    <mergeCell ref="I539:M539"/>
    <mergeCell ref="N539:O539"/>
    <mergeCell ref="P539:S539"/>
    <mergeCell ref="T539:U539"/>
    <mergeCell ref="V539:W539"/>
    <mergeCell ref="X539:Y539"/>
    <mergeCell ref="Z539:AC539"/>
    <mergeCell ref="AD539:AH539"/>
    <mergeCell ref="AI539:AK539"/>
    <mergeCell ref="C540:D540"/>
    <mergeCell ref="E540:H540"/>
    <mergeCell ref="I540:M540"/>
    <mergeCell ref="N540:O540"/>
    <mergeCell ref="P540:S540"/>
    <mergeCell ref="T540:U540"/>
    <mergeCell ref="V540:W540"/>
    <mergeCell ref="X540:Y540"/>
    <mergeCell ref="Z540:AC540"/>
    <mergeCell ref="AD540:AH540"/>
    <mergeCell ref="AI540:AK540"/>
    <mergeCell ref="C541:D541"/>
    <mergeCell ref="E541:H541"/>
    <mergeCell ref="I541:M541"/>
    <mergeCell ref="N541:O541"/>
    <mergeCell ref="P541:S541"/>
    <mergeCell ref="T541:U541"/>
    <mergeCell ref="V541:W541"/>
    <mergeCell ref="X541:Y541"/>
    <mergeCell ref="Z541:AC541"/>
    <mergeCell ref="AD541:AH541"/>
    <mergeCell ref="AI541:AK541"/>
    <mergeCell ref="C542:D542"/>
    <mergeCell ref="E542:H542"/>
    <mergeCell ref="I542:M542"/>
    <mergeCell ref="N542:O542"/>
    <mergeCell ref="P542:S542"/>
    <mergeCell ref="T542:U542"/>
    <mergeCell ref="V542:W542"/>
    <mergeCell ref="X542:Y542"/>
    <mergeCell ref="Z542:AC542"/>
    <mergeCell ref="AD542:AH542"/>
    <mergeCell ref="AI542:AK542"/>
    <mergeCell ref="C543:D543"/>
    <mergeCell ref="E543:H543"/>
    <mergeCell ref="I543:M543"/>
    <mergeCell ref="N543:O543"/>
    <mergeCell ref="P543:S543"/>
    <mergeCell ref="T543:U543"/>
    <mergeCell ref="V543:W543"/>
    <mergeCell ref="X543:Y543"/>
    <mergeCell ref="Z543:AC543"/>
    <mergeCell ref="AD543:AH543"/>
    <mergeCell ref="AI543:AK543"/>
    <mergeCell ref="V544:W544"/>
    <mergeCell ref="C545:D545"/>
    <mergeCell ref="E545:H545"/>
    <mergeCell ref="I545:M545"/>
    <mergeCell ref="N545:O545"/>
    <mergeCell ref="P545:S545"/>
    <mergeCell ref="T545:U545"/>
    <mergeCell ref="V545:W545"/>
    <mergeCell ref="X545:Y545"/>
    <mergeCell ref="Z545:AC545"/>
    <mergeCell ref="AD545:AH545"/>
    <mergeCell ref="AI545:AK545"/>
    <mergeCell ref="C546:D546"/>
    <mergeCell ref="E546:H546"/>
    <mergeCell ref="I546:M546"/>
    <mergeCell ref="N546:O546"/>
    <mergeCell ref="P546:S546"/>
    <mergeCell ref="T546:U546"/>
    <mergeCell ref="V546:W546"/>
    <mergeCell ref="X546:Y546"/>
    <mergeCell ref="Z546:AC546"/>
    <mergeCell ref="AD546:AH546"/>
    <mergeCell ref="AI546:AK546"/>
    <mergeCell ref="C547:D547"/>
    <mergeCell ref="E547:H547"/>
    <mergeCell ref="I547:M547"/>
    <mergeCell ref="N547:O547"/>
    <mergeCell ref="P547:S547"/>
    <mergeCell ref="T547:U547"/>
    <mergeCell ref="V547:W547"/>
    <mergeCell ref="X547:Y547"/>
    <mergeCell ref="Z547:AC547"/>
    <mergeCell ref="AD547:AH547"/>
    <mergeCell ref="AI547:AK547"/>
    <mergeCell ref="C548:D548"/>
    <mergeCell ref="E548:H548"/>
    <mergeCell ref="I548:M548"/>
    <mergeCell ref="N548:O548"/>
    <mergeCell ref="P548:S548"/>
    <mergeCell ref="T548:U548"/>
    <mergeCell ref="V548:W548"/>
    <mergeCell ref="X548:Y548"/>
    <mergeCell ref="Z548:AC548"/>
    <mergeCell ref="AD548:AH548"/>
    <mergeCell ref="AI548:AK548"/>
    <mergeCell ref="C549:D549"/>
    <mergeCell ref="E549:H549"/>
    <mergeCell ref="I549:M549"/>
    <mergeCell ref="N549:O549"/>
    <mergeCell ref="P549:S549"/>
    <mergeCell ref="T549:U549"/>
    <mergeCell ref="V549:W549"/>
    <mergeCell ref="X549:Y549"/>
    <mergeCell ref="Z549:AC549"/>
    <mergeCell ref="AD549:AH549"/>
    <mergeCell ref="AI549:AK549"/>
    <mergeCell ref="C550:D550"/>
    <mergeCell ref="E550:H550"/>
    <mergeCell ref="I550:M550"/>
    <mergeCell ref="N550:O550"/>
    <mergeCell ref="P550:S550"/>
    <mergeCell ref="T550:U550"/>
    <mergeCell ref="V550:W550"/>
    <mergeCell ref="X550:Y550"/>
    <mergeCell ref="Z550:AC550"/>
    <mergeCell ref="AD550:AH550"/>
    <mergeCell ref="AI550:AK550"/>
    <mergeCell ref="C551:D551"/>
    <mergeCell ref="E551:H551"/>
    <mergeCell ref="I551:M551"/>
    <mergeCell ref="N551:O551"/>
    <mergeCell ref="P551:S551"/>
    <mergeCell ref="T551:U551"/>
    <mergeCell ref="V551:W551"/>
    <mergeCell ref="X551:Y551"/>
    <mergeCell ref="Z551:AC551"/>
    <mergeCell ref="AD551:AH551"/>
    <mergeCell ref="AI551:AK551"/>
    <mergeCell ref="C552:D552"/>
    <mergeCell ref="E552:H552"/>
    <mergeCell ref="I552:M552"/>
    <mergeCell ref="N552:O552"/>
    <mergeCell ref="P552:S552"/>
    <mergeCell ref="T552:U552"/>
    <mergeCell ref="V552:W552"/>
    <mergeCell ref="X552:Y552"/>
    <mergeCell ref="Z552:AC552"/>
    <mergeCell ref="AD552:AH552"/>
    <mergeCell ref="AI552:AK552"/>
    <mergeCell ref="C553:D553"/>
    <mergeCell ref="E553:H553"/>
    <mergeCell ref="I553:M553"/>
    <mergeCell ref="N553:O553"/>
    <mergeCell ref="P553:S553"/>
    <mergeCell ref="T553:U553"/>
    <mergeCell ref="V553:W553"/>
    <mergeCell ref="X553:Y553"/>
    <mergeCell ref="Z553:AC553"/>
    <mergeCell ref="AD553:AH553"/>
    <mergeCell ref="AI553:AK553"/>
    <mergeCell ref="C554:D554"/>
    <mergeCell ref="E554:H554"/>
    <mergeCell ref="I554:M554"/>
    <mergeCell ref="N554:O554"/>
    <mergeCell ref="P554:S554"/>
    <mergeCell ref="T554:U554"/>
    <mergeCell ref="V554:W554"/>
    <mergeCell ref="X554:Y554"/>
    <mergeCell ref="Z554:AC554"/>
    <mergeCell ref="AD554:AH554"/>
    <mergeCell ref="AI554:AK554"/>
    <mergeCell ref="C555:D555"/>
    <mergeCell ref="E555:H555"/>
    <mergeCell ref="I555:M555"/>
    <mergeCell ref="N555:O555"/>
    <mergeCell ref="P555:S555"/>
    <mergeCell ref="T555:U555"/>
    <mergeCell ref="V555:W555"/>
    <mergeCell ref="X555:Y555"/>
    <mergeCell ref="Z555:AC555"/>
    <mergeCell ref="AD555:AH555"/>
    <mergeCell ref="AI555:AK555"/>
    <mergeCell ref="C556:D556"/>
    <mergeCell ref="E556:H556"/>
    <mergeCell ref="I556:M556"/>
    <mergeCell ref="N556:O556"/>
    <mergeCell ref="P556:S556"/>
    <mergeCell ref="T556:U556"/>
    <mergeCell ref="V556:W556"/>
    <mergeCell ref="X556:Y556"/>
    <mergeCell ref="Z556:AC556"/>
    <mergeCell ref="AD556:AH556"/>
    <mergeCell ref="AI556:AK556"/>
    <mergeCell ref="C557:D557"/>
    <mergeCell ref="E557:H557"/>
    <mergeCell ref="I557:M557"/>
    <mergeCell ref="N557:O557"/>
    <mergeCell ref="P557:S557"/>
    <mergeCell ref="T557:U557"/>
    <mergeCell ref="V557:W557"/>
    <mergeCell ref="X557:Y557"/>
    <mergeCell ref="Z557:AC557"/>
    <mergeCell ref="AD557:AH557"/>
    <mergeCell ref="AI557:AK557"/>
    <mergeCell ref="C558:D558"/>
    <mergeCell ref="E558:H558"/>
    <mergeCell ref="I558:M558"/>
    <mergeCell ref="N558:O558"/>
    <mergeCell ref="P558:S558"/>
    <mergeCell ref="T558:U558"/>
    <mergeCell ref="V558:W558"/>
    <mergeCell ref="X558:Y558"/>
    <mergeCell ref="Z558:AC558"/>
    <mergeCell ref="AD558:AH558"/>
    <mergeCell ref="AI558:AK558"/>
    <mergeCell ref="C559:D559"/>
    <mergeCell ref="E559:H559"/>
    <mergeCell ref="I559:M559"/>
    <mergeCell ref="N559:O559"/>
    <mergeCell ref="P559:S559"/>
    <mergeCell ref="T559:U559"/>
    <mergeCell ref="V559:W559"/>
    <mergeCell ref="X559:Y559"/>
    <mergeCell ref="Z559:AC559"/>
    <mergeCell ref="AD559:AH559"/>
    <mergeCell ref="AI559:AK559"/>
    <mergeCell ref="C560:D560"/>
    <mergeCell ref="E560:H560"/>
    <mergeCell ref="I560:M560"/>
    <mergeCell ref="N560:O560"/>
    <mergeCell ref="P560:S560"/>
    <mergeCell ref="T560:U560"/>
    <mergeCell ref="V560:W560"/>
    <mergeCell ref="X560:Y560"/>
    <mergeCell ref="Z560:AC560"/>
    <mergeCell ref="AD560:AH560"/>
    <mergeCell ref="AI560:AK560"/>
    <mergeCell ref="C561:D561"/>
    <mergeCell ref="E561:H561"/>
    <mergeCell ref="I561:M561"/>
    <mergeCell ref="N561:O561"/>
    <mergeCell ref="P561:S561"/>
    <mergeCell ref="T561:U561"/>
    <mergeCell ref="V561:W561"/>
    <mergeCell ref="X561:Y561"/>
    <mergeCell ref="Z561:AC561"/>
    <mergeCell ref="AD561:AH561"/>
    <mergeCell ref="AI561:AK561"/>
    <mergeCell ref="C562:D562"/>
    <mergeCell ref="E562:H562"/>
    <mergeCell ref="I562:M562"/>
    <mergeCell ref="N562:O562"/>
    <mergeCell ref="P562:S562"/>
    <mergeCell ref="T562:U562"/>
    <mergeCell ref="V562:W562"/>
    <mergeCell ref="X562:Y562"/>
    <mergeCell ref="Z562:AC562"/>
    <mergeCell ref="AD562:AH562"/>
    <mergeCell ref="AI562:AK562"/>
    <mergeCell ref="C563:D563"/>
    <mergeCell ref="E563:H563"/>
    <mergeCell ref="I563:M563"/>
    <mergeCell ref="N563:O563"/>
    <mergeCell ref="P563:S563"/>
    <mergeCell ref="T563:U563"/>
    <mergeCell ref="V563:W563"/>
    <mergeCell ref="X563:Y563"/>
    <mergeCell ref="Z563:AC563"/>
    <mergeCell ref="AD563:AH563"/>
    <mergeCell ref="AI563:AK563"/>
    <mergeCell ref="C564:D564"/>
    <mergeCell ref="E564:H564"/>
    <mergeCell ref="I564:M564"/>
    <mergeCell ref="N564:O564"/>
    <mergeCell ref="P564:S564"/>
    <mergeCell ref="T564:U564"/>
    <mergeCell ref="V564:W564"/>
    <mergeCell ref="X564:Y564"/>
    <mergeCell ref="Z564:AC564"/>
    <mergeCell ref="AD564:AH564"/>
    <mergeCell ref="AI564:AK564"/>
    <mergeCell ref="C565:D565"/>
    <mergeCell ref="E565:H565"/>
    <mergeCell ref="I565:M565"/>
    <mergeCell ref="N565:O565"/>
    <mergeCell ref="P565:S565"/>
    <mergeCell ref="T565:U565"/>
    <mergeCell ref="V565:W565"/>
    <mergeCell ref="X565:Y565"/>
    <mergeCell ref="Z565:AC565"/>
    <mergeCell ref="AD565:AH565"/>
    <mergeCell ref="AI565:AK565"/>
    <mergeCell ref="C566:D566"/>
    <mergeCell ref="E566:H566"/>
    <mergeCell ref="I566:M566"/>
    <mergeCell ref="N566:O566"/>
    <mergeCell ref="P566:S566"/>
    <mergeCell ref="T566:U566"/>
    <mergeCell ref="V566:W566"/>
    <mergeCell ref="X566:Y566"/>
    <mergeCell ref="Z566:AC566"/>
    <mergeCell ref="AD566:AH566"/>
    <mergeCell ref="AI566:AK566"/>
    <mergeCell ref="C567:D567"/>
    <mergeCell ref="E567:H567"/>
    <mergeCell ref="I567:M567"/>
    <mergeCell ref="N567:O567"/>
    <mergeCell ref="P567:S567"/>
    <mergeCell ref="T567:U567"/>
    <mergeCell ref="V567:W567"/>
    <mergeCell ref="X567:Y567"/>
    <mergeCell ref="Z567:AC567"/>
    <mergeCell ref="AD567:AH567"/>
    <mergeCell ref="AI567:AK567"/>
    <mergeCell ref="C568:D568"/>
    <mergeCell ref="E568:H568"/>
    <mergeCell ref="I568:M568"/>
    <mergeCell ref="N568:O568"/>
    <mergeCell ref="P568:S568"/>
    <mergeCell ref="T568:U568"/>
    <mergeCell ref="V568:W568"/>
    <mergeCell ref="X568:Y568"/>
    <mergeCell ref="Z568:AC568"/>
    <mergeCell ref="AD568:AH568"/>
    <mergeCell ref="AI568:AK568"/>
    <mergeCell ref="C569:D569"/>
    <mergeCell ref="E569:H569"/>
    <mergeCell ref="I569:M569"/>
    <mergeCell ref="N569:O569"/>
    <mergeCell ref="P569:S569"/>
    <mergeCell ref="T569:U569"/>
    <mergeCell ref="V569:W569"/>
    <mergeCell ref="X569:Y569"/>
    <mergeCell ref="Z569:AC569"/>
    <mergeCell ref="AD569:AH569"/>
    <mergeCell ref="AI569:AK569"/>
    <mergeCell ref="C570:D570"/>
    <mergeCell ref="E570:H570"/>
    <mergeCell ref="I570:M570"/>
    <mergeCell ref="N570:O570"/>
    <mergeCell ref="P570:S570"/>
    <mergeCell ref="T570:U570"/>
    <mergeCell ref="V570:W570"/>
    <mergeCell ref="X570:Y570"/>
    <mergeCell ref="Z570:AC570"/>
    <mergeCell ref="AD570:AH570"/>
    <mergeCell ref="AI570:AK570"/>
    <mergeCell ref="C571:D571"/>
    <mergeCell ref="E571:H571"/>
    <mergeCell ref="I571:M571"/>
    <mergeCell ref="N571:O571"/>
    <mergeCell ref="P571:S571"/>
    <mergeCell ref="T571:U571"/>
    <mergeCell ref="V571:W571"/>
    <mergeCell ref="X571:Y571"/>
    <mergeCell ref="Z571:AC571"/>
    <mergeCell ref="AD571:AH571"/>
    <mergeCell ref="AI571:AK571"/>
    <mergeCell ref="C572:D572"/>
    <mergeCell ref="E572:H572"/>
    <mergeCell ref="I572:M572"/>
    <mergeCell ref="N572:O572"/>
    <mergeCell ref="P572:S572"/>
    <mergeCell ref="T572:U572"/>
    <mergeCell ref="V572:W572"/>
    <mergeCell ref="X572:Y572"/>
    <mergeCell ref="Z572:AC572"/>
    <mergeCell ref="AD572:AH572"/>
    <mergeCell ref="AI572:AK572"/>
    <mergeCell ref="C573:D573"/>
    <mergeCell ref="E573:H573"/>
    <mergeCell ref="I573:M573"/>
    <mergeCell ref="N573:O573"/>
    <mergeCell ref="P573:S573"/>
    <mergeCell ref="T573:U573"/>
    <mergeCell ref="V573:W573"/>
    <mergeCell ref="X573:Y573"/>
    <mergeCell ref="Z573:AC573"/>
    <mergeCell ref="AD573:AH573"/>
    <mergeCell ref="AI573:AK573"/>
    <mergeCell ref="C574:D574"/>
    <mergeCell ref="E574:H574"/>
    <mergeCell ref="I574:M574"/>
    <mergeCell ref="N574:O574"/>
    <mergeCell ref="P574:S574"/>
    <mergeCell ref="T574:U574"/>
    <mergeCell ref="V574:W574"/>
    <mergeCell ref="X574:Y574"/>
    <mergeCell ref="Z574:AC574"/>
    <mergeCell ref="AD574:AH574"/>
    <mergeCell ref="AI574:AK574"/>
    <mergeCell ref="C575:D575"/>
    <mergeCell ref="E575:H575"/>
    <mergeCell ref="I575:M575"/>
    <mergeCell ref="N575:O575"/>
    <mergeCell ref="P575:S575"/>
    <mergeCell ref="T575:U575"/>
    <mergeCell ref="V575:W575"/>
    <mergeCell ref="X575:Y575"/>
    <mergeCell ref="Z575:AC575"/>
    <mergeCell ref="AD575:AH575"/>
    <mergeCell ref="AI575:AK575"/>
    <mergeCell ref="C576:D576"/>
    <mergeCell ref="E576:H576"/>
    <mergeCell ref="I576:M576"/>
    <mergeCell ref="N576:O576"/>
    <mergeCell ref="P576:S576"/>
    <mergeCell ref="T576:U576"/>
    <mergeCell ref="V576:W576"/>
    <mergeCell ref="X576:Y576"/>
    <mergeCell ref="Z576:AC576"/>
    <mergeCell ref="AD576:AH576"/>
    <mergeCell ref="AI576:AK576"/>
    <mergeCell ref="C577:D577"/>
    <mergeCell ref="E577:H577"/>
    <mergeCell ref="I577:M577"/>
    <mergeCell ref="N577:O577"/>
    <mergeCell ref="P577:S577"/>
    <mergeCell ref="T577:U577"/>
    <mergeCell ref="V577:W577"/>
    <mergeCell ref="X577:Y577"/>
    <mergeCell ref="Z577:AC577"/>
    <mergeCell ref="AD577:AH577"/>
    <mergeCell ref="AI577:AK577"/>
    <mergeCell ref="C578:D578"/>
    <mergeCell ref="E578:H578"/>
    <mergeCell ref="I578:M578"/>
    <mergeCell ref="N578:O578"/>
    <mergeCell ref="P578:S578"/>
    <mergeCell ref="T578:U578"/>
    <mergeCell ref="V578:W578"/>
    <mergeCell ref="X578:Y578"/>
    <mergeCell ref="Z578:AC578"/>
    <mergeCell ref="AD578:AH578"/>
    <mergeCell ref="AI578:AK578"/>
    <mergeCell ref="C579:D579"/>
    <mergeCell ref="E579:H579"/>
    <mergeCell ref="I579:M579"/>
    <mergeCell ref="N579:O579"/>
    <mergeCell ref="P579:S579"/>
    <mergeCell ref="T579:U579"/>
    <mergeCell ref="V579:W579"/>
    <mergeCell ref="X579:Y579"/>
    <mergeCell ref="Z579:AC579"/>
    <mergeCell ref="AD579:AH579"/>
    <mergeCell ref="AI579:AK579"/>
    <mergeCell ref="C580:D580"/>
    <mergeCell ref="E580:H580"/>
    <mergeCell ref="I580:M580"/>
    <mergeCell ref="N580:O580"/>
    <mergeCell ref="P580:S580"/>
    <mergeCell ref="T580:U580"/>
    <mergeCell ref="V580:W580"/>
    <mergeCell ref="X580:Y580"/>
    <mergeCell ref="Z580:AC580"/>
    <mergeCell ref="AD580:AH580"/>
    <mergeCell ref="AI580:AK580"/>
    <mergeCell ref="C581:D581"/>
    <mergeCell ref="E581:H581"/>
    <mergeCell ref="I581:M581"/>
    <mergeCell ref="N581:O581"/>
    <mergeCell ref="P581:S581"/>
    <mergeCell ref="T581:U581"/>
    <mergeCell ref="V581:W581"/>
    <mergeCell ref="X581:Y581"/>
    <mergeCell ref="Z581:AC581"/>
    <mergeCell ref="AD581:AH581"/>
    <mergeCell ref="AI581:AK581"/>
    <mergeCell ref="C582:D582"/>
    <mergeCell ref="E582:H582"/>
    <mergeCell ref="I582:M582"/>
    <mergeCell ref="N582:O582"/>
    <mergeCell ref="P582:S582"/>
    <mergeCell ref="T582:U582"/>
    <mergeCell ref="V582:W582"/>
    <mergeCell ref="X582:Y582"/>
    <mergeCell ref="Z582:AC582"/>
    <mergeCell ref="AD582:AH582"/>
    <mergeCell ref="AI582:AK582"/>
    <mergeCell ref="C583:D583"/>
    <mergeCell ref="E583:H583"/>
    <mergeCell ref="I583:M583"/>
    <mergeCell ref="N583:O583"/>
    <mergeCell ref="P583:S583"/>
    <mergeCell ref="T583:U583"/>
    <mergeCell ref="V583:W583"/>
    <mergeCell ref="X583:Y583"/>
    <mergeCell ref="Z583:AC583"/>
    <mergeCell ref="AD583:AH583"/>
    <mergeCell ref="AI583:AK583"/>
    <mergeCell ref="C584:D584"/>
    <mergeCell ref="E584:H584"/>
    <mergeCell ref="I584:M584"/>
    <mergeCell ref="N584:O584"/>
    <mergeCell ref="P584:S584"/>
    <mergeCell ref="T584:U584"/>
    <mergeCell ref="V584:W584"/>
    <mergeCell ref="X584:Y584"/>
    <mergeCell ref="Z584:AC584"/>
    <mergeCell ref="AD584:AH584"/>
    <mergeCell ref="AI584:AK584"/>
    <mergeCell ref="V585:W585"/>
    <mergeCell ref="C586:D586"/>
    <mergeCell ref="E586:H586"/>
    <mergeCell ref="I586:M586"/>
    <mergeCell ref="N586:O586"/>
    <mergeCell ref="P586:S586"/>
    <mergeCell ref="T586:U586"/>
    <mergeCell ref="V586:W586"/>
    <mergeCell ref="X586:Y586"/>
    <mergeCell ref="Z586:AC586"/>
    <mergeCell ref="AD586:AH586"/>
    <mergeCell ref="AI586:AK586"/>
    <mergeCell ref="C587:D587"/>
    <mergeCell ref="E587:H587"/>
    <mergeCell ref="I587:M587"/>
    <mergeCell ref="N587:O587"/>
    <mergeCell ref="P587:S587"/>
    <mergeCell ref="T587:U587"/>
    <mergeCell ref="V587:W587"/>
    <mergeCell ref="X587:Y587"/>
    <mergeCell ref="Z587:AC587"/>
    <mergeCell ref="AD587:AH587"/>
    <mergeCell ref="AI587:AK587"/>
    <mergeCell ref="C588:D588"/>
    <mergeCell ref="E588:H588"/>
    <mergeCell ref="I588:M588"/>
    <mergeCell ref="N588:O588"/>
    <mergeCell ref="P588:S588"/>
    <mergeCell ref="T588:U588"/>
    <mergeCell ref="V588:W588"/>
    <mergeCell ref="X588:Y588"/>
    <mergeCell ref="Z588:AC588"/>
    <mergeCell ref="AD588:AH588"/>
    <mergeCell ref="AI588:AK588"/>
    <mergeCell ref="C589:D589"/>
    <mergeCell ref="E589:H589"/>
    <mergeCell ref="I589:M589"/>
    <mergeCell ref="N589:O589"/>
    <mergeCell ref="P589:S589"/>
    <mergeCell ref="T589:U589"/>
    <mergeCell ref="V589:W589"/>
    <mergeCell ref="X589:Y589"/>
    <mergeCell ref="Z589:AC589"/>
    <mergeCell ref="AD589:AH589"/>
    <mergeCell ref="AI589:AK589"/>
    <mergeCell ref="C590:D590"/>
    <mergeCell ref="E590:H590"/>
    <mergeCell ref="I590:M590"/>
    <mergeCell ref="N590:O590"/>
    <mergeCell ref="P590:S590"/>
    <mergeCell ref="T590:U590"/>
    <mergeCell ref="V590:W590"/>
    <mergeCell ref="X590:Y590"/>
    <mergeCell ref="Z590:AC590"/>
    <mergeCell ref="AD590:AH590"/>
    <mergeCell ref="AI590:AK590"/>
    <mergeCell ref="C591:D591"/>
    <mergeCell ref="E591:H591"/>
    <mergeCell ref="I591:M591"/>
    <mergeCell ref="N591:O591"/>
    <mergeCell ref="P591:S591"/>
    <mergeCell ref="T591:U591"/>
    <mergeCell ref="V591:W591"/>
    <mergeCell ref="X591:Y591"/>
    <mergeCell ref="Z591:AC591"/>
    <mergeCell ref="AD591:AH591"/>
    <mergeCell ref="AI591:AK591"/>
    <mergeCell ref="C592:D592"/>
    <mergeCell ref="E592:H592"/>
    <mergeCell ref="I592:M592"/>
    <mergeCell ref="N592:O592"/>
    <mergeCell ref="P592:S592"/>
    <mergeCell ref="T592:U592"/>
    <mergeCell ref="V592:W592"/>
    <mergeCell ref="X592:Y592"/>
    <mergeCell ref="Z592:AC592"/>
    <mergeCell ref="AD592:AH592"/>
    <mergeCell ref="AI592:AK592"/>
    <mergeCell ref="C593:D593"/>
    <mergeCell ref="E593:H593"/>
    <mergeCell ref="I593:M593"/>
    <mergeCell ref="N593:O593"/>
    <mergeCell ref="P593:S593"/>
    <mergeCell ref="T593:U593"/>
    <mergeCell ref="V593:W593"/>
    <mergeCell ref="X593:Y593"/>
    <mergeCell ref="Z593:AC593"/>
    <mergeCell ref="AD593:AH593"/>
    <mergeCell ref="AI593:AK593"/>
    <mergeCell ref="C594:D594"/>
    <mergeCell ref="E594:H594"/>
    <mergeCell ref="I594:M594"/>
    <mergeCell ref="N594:O594"/>
    <mergeCell ref="P594:S594"/>
    <mergeCell ref="T594:U594"/>
    <mergeCell ref="V594:W594"/>
    <mergeCell ref="X594:Y594"/>
    <mergeCell ref="Z594:AC594"/>
    <mergeCell ref="AD594:AH594"/>
    <mergeCell ref="AI594:AK594"/>
    <mergeCell ref="C595:D595"/>
    <mergeCell ref="E595:H595"/>
    <mergeCell ref="I595:M595"/>
    <mergeCell ref="N595:O595"/>
    <mergeCell ref="P595:S595"/>
    <mergeCell ref="T595:U595"/>
    <mergeCell ref="V595:W595"/>
    <mergeCell ref="X595:Y595"/>
    <mergeCell ref="Z595:AC595"/>
    <mergeCell ref="AD595:AH595"/>
    <mergeCell ref="AI595:AK595"/>
    <mergeCell ref="C596:D596"/>
    <mergeCell ref="E596:H596"/>
    <mergeCell ref="I596:M596"/>
    <mergeCell ref="N596:O596"/>
    <mergeCell ref="P596:S596"/>
    <mergeCell ref="T596:U596"/>
    <mergeCell ref="V596:W596"/>
    <mergeCell ref="X596:Y596"/>
    <mergeCell ref="Z596:AC596"/>
    <mergeCell ref="AD596:AH596"/>
    <mergeCell ref="AI596:AK596"/>
    <mergeCell ref="C597:D597"/>
    <mergeCell ref="E597:H597"/>
    <mergeCell ref="I597:M597"/>
    <mergeCell ref="N597:O597"/>
    <mergeCell ref="P597:S597"/>
    <mergeCell ref="T597:U597"/>
    <mergeCell ref="V597:W597"/>
    <mergeCell ref="X597:Y597"/>
    <mergeCell ref="Z597:AC597"/>
    <mergeCell ref="AD597:AH597"/>
    <mergeCell ref="AI597:AK597"/>
    <mergeCell ref="C598:D598"/>
    <mergeCell ref="E598:H598"/>
    <mergeCell ref="I598:M598"/>
    <mergeCell ref="N598:O598"/>
    <mergeCell ref="P598:S598"/>
    <mergeCell ref="T598:U598"/>
    <mergeCell ref="V598:W598"/>
    <mergeCell ref="X598:Y598"/>
    <mergeCell ref="Z598:AC598"/>
    <mergeCell ref="AD598:AH598"/>
    <mergeCell ref="AI598:AK598"/>
    <mergeCell ref="C599:D599"/>
    <mergeCell ref="E599:H599"/>
    <mergeCell ref="I599:M599"/>
    <mergeCell ref="N599:O599"/>
    <mergeCell ref="P599:S599"/>
    <mergeCell ref="T599:U599"/>
    <mergeCell ref="V599:W599"/>
    <mergeCell ref="X599:Y599"/>
    <mergeCell ref="Z599:AC599"/>
    <mergeCell ref="AD599:AH599"/>
    <mergeCell ref="AI599:AK599"/>
    <mergeCell ref="C600:D600"/>
    <mergeCell ref="E600:H600"/>
    <mergeCell ref="I600:M600"/>
    <mergeCell ref="N600:O600"/>
    <mergeCell ref="P600:S600"/>
    <mergeCell ref="T600:U600"/>
    <mergeCell ref="V600:W600"/>
    <mergeCell ref="X600:Y600"/>
    <mergeCell ref="Z600:AC600"/>
    <mergeCell ref="AD600:AH600"/>
    <mergeCell ref="AI600:AK600"/>
    <mergeCell ref="C601:D601"/>
    <mergeCell ref="E601:H601"/>
    <mergeCell ref="I601:M601"/>
    <mergeCell ref="N601:O601"/>
    <mergeCell ref="P601:S601"/>
    <mergeCell ref="T601:U601"/>
    <mergeCell ref="V601:W601"/>
    <mergeCell ref="X601:Y601"/>
    <mergeCell ref="Z601:AC601"/>
    <mergeCell ref="AD601:AH601"/>
    <mergeCell ref="AI601:AK601"/>
    <mergeCell ref="C602:D602"/>
    <mergeCell ref="E602:H602"/>
    <mergeCell ref="I602:M602"/>
    <mergeCell ref="N602:O602"/>
    <mergeCell ref="P602:S602"/>
    <mergeCell ref="T602:U602"/>
    <mergeCell ref="V602:W602"/>
    <mergeCell ref="X602:Y602"/>
    <mergeCell ref="Z602:AC602"/>
    <mergeCell ref="AD602:AH602"/>
    <mergeCell ref="AI602:AK602"/>
    <mergeCell ref="C603:D603"/>
    <mergeCell ref="E603:H603"/>
    <mergeCell ref="I603:M603"/>
    <mergeCell ref="N603:O603"/>
    <mergeCell ref="P603:S603"/>
    <mergeCell ref="T603:U603"/>
    <mergeCell ref="V603:W603"/>
    <mergeCell ref="X603:Y603"/>
    <mergeCell ref="Z603:AC603"/>
    <mergeCell ref="AD603:AH603"/>
    <mergeCell ref="AI603:AK603"/>
    <mergeCell ref="C604:D604"/>
    <mergeCell ref="E604:H604"/>
    <mergeCell ref="I604:M604"/>
    <mergeCell ref="N604:O604"/>
    <mergeCell ref="P604:S604"/>
    <mergeCell ref="T604:U604"/>
    <mergeCell ref="V604:W604"/>
    <mergeCell ref="X604:Y604"/>
    <mergeCell ref="Z604:AC604"/>
    <mergeCell ref="AD604:AH604"/>
    <mergeCell ref="AI604:AK604"/>
    <mergeCell ref="C605:D605"/>
    <mergeCell ref="E605:H605"/>
    <mergeCell ref="I605:M605"/>
    <mergeCell ref="N605:O605"/>
    <mergeCell ref="P605:S605"/>
    <mergeCell ref="T605:U605"/>
    <mergeCell ref="V605:W605"/>
    <mergeCell ref="X605:Y605"/>
    <mergeCell ref="Z605:AC605"/>
    <mergeCell ref="AD605:AH605"/>
    <mergeCell ref="AI605:AK605"/>
    <mergeCell ref="C606:D606"/>
    <mergeCell ref="E606:H606"/>
    <mergeCell ref="I606:M606"/>
    <mergeCell ref="N606:O606"/>
    <mergeCell ref="P606:S606"/>
    <mergeCell ref="T606:U606"/>
    <mergeCell ref="V606:W606"/>
    <mergeCell ref="X606:Y606"/>
    <mergeCell ref="Z606:AC606"/>
    <mergeCell ref="AD606:AH606"/>
    <mergeCell ref="AI606:AK606"/>
    <mergeCell ref="C607:D607"/>
    <mergeCell ref="E607:H607"/>
    <mergeCell ref="I607:M607"/>
    <mergeCell ref="N607:O607"/>
    <mergeCell ref="P607:S607"/>
    <mergeCell ref="T607:U607"/>
    <mergeCell ref="V607:W607"/>
    <mergeCell ref="X607:Y607"/>
    <mergeCell ref="Z607:AC607"/>
    <mergeCell ref="AD607:AH607"/>
    <mergeCell ref="AI607:AK607"/>
    <mergeCell ref="C608:D608"/>
    <mergeCell ref="E608:H608"/>
    <mergeCell ref="I608:M608"/>
    <mergeCell ref="N608:O608"/>
    <mergeCell ref="P608:S608"/>
    <mergeCell ref="T608:U608"/>
    <mergeCell ref="V608:W608"/>
    <mergeCell ref="X608:Y608"/>
    <mergeCell ref="Z608:AC608"/>
    <mergeCell ref="AD608:AH608"/>
    <mergeCell ref="AI608:AK608"/>
    <mergeCell ref="C609:D609"/>
    <mergeCell ref="E609:H609"/>
    <mergeCell ref="I609:M609"/>
    <mergeCell ref="N609:O609"/>
    <mergeCell ref="P609:S609"/>
    <mergeCell ref="T609:U609"/>
    <mergeCell ref="V609:W609"/>
    <mergeCell ref="X609:Y609"/>
    <mergeCell ref="Z609:AC609"/>
    <mergeCell ref="AD609:AH609"/>
    <mergeCell ref="AI609:AK609"/>
    <mergeCell ref="C610:D610"/>
    <mergeCell ref="E610:H610"/>
    <mergeCell ref="I610:M610"/>
    <mergeCell ref="N610:O610"/>
    <mergeCell ref="P610:S610"/>
    <mergeCell ref="T610:U610"/>
    <mergeCell ref="V610:W610"/>
    <mergeCell ref="X610:Y610"/>
    <mergeCell ref="Z610:AC610"/>
    <mergeCell ref="AD610:AH610"/>
    <mergeCell ref="AI610:AK610"/>
    <mergeCell ref="C611:D611"/>
    <mergeCell ref="E611:H611"/>
    <mergeCell ref="I611:M611"/>
    <mergeCell ref="N611:O611"/>
    <mergeCell ref="P611:S611"/>
    <mergeCell ref="T611:U611"/>
    <mergeCell ref="V611:W611"/>
    <mergeCell ref="X611:Y611"/>
    <mergeCell ref="Z611:AC611"/>
    <mergeCell ref="AD611:AH611"/>
    <mergeCell ref="AI611:AK611"/>
    <mergeCell ref="C612:D612"/>
    <mergeCell ref="E612:H612"/>
    <mergeCell ref="I612:M612"/>
    <mergeCell ref="N612:O612"/>
    <mergeCell ref="P612:S612"/>
    <mergeCell ref="T612:U612"/>
    <mergeCell ref="V612:W612"/>
    <mergeCell ref="X612:Y612"/>
    <mergeCell ref="Z612:AC612"/>
    <mergeCell ref="AD612:AH612"/>
    <mergeCell ref="AI612:AK612"/>
    <mergeCell ref="C613:D613"/>
    <mergeCell ref="E613:H613"/>
    <mergeCell ref="I613:M613"/>
    <mergeCell ref="N613:O613"/>
    <mergeCell ref="P613:S613"/>
    <mergeCell ref="T613:U613"/>
    <mergeCell ref="V613:W613"/>
    <mergeCell ref="X613:Y613"/>
    <mergeCell ref="Z613:AC613"/>
    <mergeCell ref="AD613:AH613"/>
    <mergeCell ref="AI613:AK613"/>
    <mergeCell ref="C614:D614"/>
    <mergeCell ref="E614:H614"/>
    <mergeCell ref="I614:M614"/>
    <mergeCell ref="N614:O614"/>
    <mergeCell ref="P614:S614"/>
    <mergeCell ref="T614:U614"/>
    <mergeCell ref="V614:W614"/>
    <mergeCell ref="X614:Y614"/>
    <mergeCell ref="Z614:AC614"/>
    <mergeCell ref="AD614:AH614"/>
    <mergeCell ref="AI614:AK614"/>
    <mergeCell ref="C615:D615"/>
    <mergeCell ref="E615:H615"/>
    <mergeCell ref="I615:M615"/>
    <mergeCell ref="N615:O615"/>
    <mergeCell ref="P615:S615"/>
    <mergeCell ref="T615:U615"/>
    <mergeCell ref="V615:W615"/>
    <mergeCell ref="X615:Y615"/>
    <mergeCell ref="Z615:AC615"/>
    <mergeCell ref="AD615:AH615"/>
    <mergeCell ref="AI615:AK615"/>
    <mergeCell ref="C616:D616"/>
    <mergeCell ref="E616:H616"/>
    <mergeCell ref="I616:M616"/>
    <mergeCell ref="N616:O616"/>
    <mergeCell ref="P616:S616"/>
    <mergeCell ref="T616:U616"/>
    <mergeCell ref="V616:W616"/>
    <mergeCell ref="X616:Y616"/>
    <mergeCell ref="Z616:AC616"/>
    <mergeCell ref="AD616:AH616"/>
    <mergeCell ref="AI616:AK616"/>
    <mergeCell ref="C617:D617"/>
    <mergeCell ref="E617:H617"/>
    <mergeCell ref="I617:M617"/>
    <mergeCell ref="N617:O617"/>
    <mergeCell ref="P617:S617"/>
    <mergeCell ref="T617:U617"/>
    <mergeCell ref="V617:W617"/>
    <mergeCell ref="X617:Y617"/>
    <mergeCell ref="Z617:AC617"/>
    <mergeCell ref="AD617:AH617"/>
    <mergeCell ref="AI617:AK617"/>
    <mergeCell ref="C618:D618"/>
    <mergeCell ref="E618:H618"/>
    <mergeCell ref="I618:M618"/>
    <mergeCell ref="N618:O618"/>
    <mergeCell ref="P618:S618"/>
    <mergeCell ref="T618:U618"/>
    <mergeCell ref="V618:W618"/>
    <mergeCell ref="X618:Y618"/>
    <mergeCell ref="Z618:AC618"/>
    <mergeCell ref="AD618:AH618"/>
    <mergeCell ref="AI618:AK618"/>
    <mergeCell ref="C619:D619"/>
    <mergeCell ref="E619:H619"/>
    <mergeCell ref="I619:M619"/>
    <mergeCell ref="N619:O619"/>
    <mergeCell ref="P619:S619"/>
    <mergeCell ref="T619:U619"/>
    <mergeCell ref="V619:W619"/>
    <mergeCell ref="X619:Y619"/>
    <mergeCell ref="Z619:AC619"/>
    <mergeCell ref="AD619:AH619"/>
    <mergeCell ref="AI619:AK619"/>
    <mergeCell ref="C620:D620"/>
    <mergeCell ref="E620:H620"/>
    <mergeCell ref="I620:M620"/>
    <mergeCell ref="N620:O620"/>
    <mergeCell ref="P620:S620"/>
    <mergeCell ref="T620:U620"/>
    <mergeCell ref="V620:W620"/>
    <mergeCell ref="X620:Y620"/>
    <mergeCell ref="Z620:AC620"/>
    <mergeCell ref="AD620:AH620"/>
    <mergeCell ref="AI620:AK620"/>
    <mergeCell ref="C621:D621"/>
    <mergeCell ref="E621:H621"/>
    <mergeCell ref="I621:M621"/>
    <mergeCell ref="N621:O621"/>
    <mergeCell ref="P621:S621"/>
    <mergeCell ref="T621:U621"/>
    <mergeCell ref="V621:W621"/>
    <mergeCell ref="X621:Y621"/>
    <mergeCell ref="Z621:AC621"/>
    <mergeCell ref="AD621:AH621"/>
    <mergeCell ref="AI621:AK621"/>
    <mergeCell ref="C622:D622"/>
    <mergeCell ref="E622:H622"/>
    <mergeCell ref="I622:M622"/>
    <mergeCell ref="N622:O622"/>
    <mergeCell ref="P622:S622"/>
    <mergeCell ref="T622:U622"/>
    <mergeCell ref="V622:W622"/>
    <mergeCell ref="X622:Y622"/>
    <mergeCell ref="Z622:AC622"/>
    <mergeCell ref="AD622:AH622"/>
    <mergeCell ref="AI622:AK622"/>
    <mergeCell ref="C623:D623"/>
    <mergeCell ref="E623:H623"/>
    <mergeCell ref="I623:M623"/>
    <mergeCell ref="N623:O623"/>
    <mergeCell ref="P623:S623"/>
    <mergeCell ref="T623:U623"/>
    <mergeCell ref="V623:W623"/>
    <mergeCell ref="X623:Y623"/>
    <mergeCell ref="Z623:AC623"/>
    <mergeCell ref="AD623:AH623"/>
    <mergeCell ref="AI623:AK623"/>
    <mergeCell ref="C624:D624"/>
    <mergeCell ref="E624:H624"/>
    <mergeCell ref="I624:M624"/>
    <mergeCell ref="N624:O624"/>
    <mergeCell ref="P624:S624"/>
    <mergeCell ref="T624:U624"/>
    <mergeCell ref="V624:W624"/>
    <mergeCell ref="X624:Y624"/>
    <mergeCell ref="Z624:AC624"/>
    <mergeCell ref="AD624:AH624"/>
    <mergeCell ref="AI624:AK624"/>
    <mergeCell ref="C625:D625"/>
    <mergeCell ref="E625:H625"/>
    <mergeCell ref="I625:M625"/>
    <mergeCell ref="N625:O625"/>
    <mergeCell ref="P625:S625"/>
    <mergeCell ref="T625:U625"/>
    <mergeCell ref="V625:W625"/>
    <mergeCell ref="X625:Y625"/>
    <mergeCell ref="Z625:AC625"/>
    <mergeCell ref="AD625:AH625"/>
    <mergeCell ref="AI625:AK625"/>
    <mergeCell ref="V626:W626"/>
    <mergeCell ref="C627:D627"/>
    <mergeCell ref="E627:H627"/>
    <mergeCell ref="I627:M627"/>
    <mergeCell ref="N627:O627"/>
    <mergeCell ref="P627:S627"/>
    <mergeCell ref="T627:U627"/>
    <mergeCell ref="V627:W627"/>
    <mergeCell ref="X627:Y627"/>
    <mergeCell ref="Z627:AC627"/>
    <mergeCell ref="AD627:AH627"/>
    <mergeCell ref="AI627:AK627"/>
    <mergeCell ref="C628:D628"/>
    <mergeCell ref="E628:H628"/>
    <mergeCell ref="I628:M628"/>
    <mergeCell ref="N628:O628"/>
    <mergeCell ref="P628:S628"/>
    <mergeCell ref="T628:U628"/>
    <mergeCell ref="V628:W628"/>
    <mergeCell ref="X628:Y628"/>
    <mergeCell ref="Z628:AC628"/>
    <mergeCell ref="AD628:AH628"/>
    <mergeCell ref="AI628:AK628"/>
    <mergeCell ref="C629:D629"/>
    <mergeCell ref="E629:H629"/>
    <mergeCell ref="I629:M629"/>
    <mergeCell ref="N629:O629"/>
    <mergeCell ref="P629:S629"/>
    <mergeCell ref="T629:U629"/>
    <mergeCell ref="V629:W629"/>
    <mergeCell ref="X629:Y629"/>
    <mergeCell ref="Z629:AC629"/>
    <mergeCell ref="AD629:AH629"/>
    <mergeCell ref="AI629:AK629"/>
    <mergeCell ref="C630:D630"/>
    <mergeCell ref="E630:H630"/>
    <mergeCell ref="I630:M630"/>
    <mergeCell ref="N630:O630"/>
    <mergeCell ref="P630:S630"/>
    <mergeCell ref="T630:U630"/>
    <mergeCell ref="V630:W630"/>
    <mergeCell ref="X630:Y630"/>
    <mergeCell ref="Z630:AC630"/>
    <mergeCell ref="AD630:AH630"/>
    <mergeCell ref="AI630:AK630"/>
    <mergeCell ref="C631:D631"/>
    <mergeCell ref="E631:H631"/>
    <mergeCell ref="I631:M631"/>
    <mergeCell ref="N631:O631"/>
    <mergeCell ref="P631:S631"/>
    <mergeCell ref="T631:U631"/>
    <mergeCell ref="V631:W631"/>
    <mergeCell ref="X631:Y631"/>
    <mergeCell ref="Z631:AC631"/>
    <mergeCell ref="AD631:AH631"/>
    <mergeCell ref="AI631:AK631"/>
    <mergeCell ref="C632:D632"/>
    <mergeCell ref="E632:H632"/>
    <mergeCell ref="I632:M632"/>
    <mergeCell ref="N632:O632"/>
    <mergeCell ref="P632:S632"/>
    <mergeCell ref="T632:U632"/>
    <mergeCell ref="V632:W632"/>
    <mergeCell ref="X632:Y632"/>
    <mergeCell ref="Z632:AC632"/>
    <mergeCell ref="AD632:AH632"/>
    <mergeCell ref="AI632:AK632"/>
    <mergeCell ref="C633:D633"/>
    <mergeCell ref="E633:H633"/>
    <mergeCell ref="I633:M633"/>
    <mergeCell ref="N633:O633"/>
    <mergeCell ref="P633:S633"/>
    <mergeCell ref="T633:U633"/>
    <mergeCell ref="V633:W633"/>
    <mergeCell ref="X633:Y633"/>
    <mergeCell ref="Z633:AC633"/>
    <mergeCell ref="AD633:AH633"/>
    <mergeCell ref="AI633:AK633"/>
    <mergeCell ref="C634:D634"/>
    <mergeCell ref="E634:H634"/>
    <mergeCell ref="I634:M634"/>
    <mergeCell ref="N634:O634"/>
    <mergeCell ref="P634:S634"/>
    <mergeCell ref="T634:U634"/>
    <mergeCell ref="V634:W634"/>
    <mergeCell ref="X634:Y634"/>
    <mergeCell ref="Z634:AC634"/>
    <mergeCell ref="AD634:AH634"/>
    <mergeCell ref="AI634:AK634"/>
    <mergeCell ref="C635:D635"/>
    <mergeCell ref="E635:H635"/>
    <mergeCell ref="I635:M635"/>
    <mergeCell ref="N635:O635"/>
    <mergeCell ref="P635:S635"/>
    <mergeCell ref="T635:U635"/>
    <mergeCell ref="V635:W635"/>
    <mergeCell ref="X635:Y635"/>
    <mergeCell ref="Z635:AC635"/>
    <mergeCell ref="AD635:AH635"/>
    <mergeCell ref="AI635:AK635"/>
    <mergeCell ref="C636:D636"/>
    <mergeCell ref="E636:H636"/>
    <mergeCell ref="I636:M636"/>
    <mergeCell ref="N636:O636"/>
    <mergeCell ref="P636:S636"/>
    <mergeCell ref="T636:U636"/>
    <mergeCell ref="V636:W636"/>
    <mergeCell ref="X636:Y636"/>
    <mergeCell ref="Z636:AC636"/>
    <mergeCell ref="AD636:AH636"/>
    <mergeCell ref="AI636:AK636"/>
    <mergeCell ref="C637:D637"/>
    <mergeCell ref="E637:H637"/>
    <mergeCell ref="I637:M637"/>
    <mergeCell ref="N637:O637"/>
    <mergeCell ref="P637:S637"/>
    <mergeCell ref="T637:U637"/>
    <mergeCell ref="V637:W637"/>
    <mergeCell ref="X637:Y637"/>
    <mergeCell ref="Z637:AC637"/>
    <mergeCell ref="AD637:AH637"/>
    <mergeCell ref="AI637:AK637"/>
    <mergeCell ref="C638:D638"/>
    <mergeCell ref="E638:H638"/>
    <mergeCell ref="I638:M638"/>
    <mergeCell ref="N638:O638"/>
    <mergeCell ref="P638:S638"/>
    <mergeCell ref="T638:U638"/>
    <mergeCell ref="V638:W638"/>
    <mergeCell ref="X638:Y638"/>
    <mergeCell ref="Z638:AC638"/>
    <mergeCell ref="AD638:AH638"/>
    <mergeCell ref="AI638:AK638"/>
    <mergeCell ref="C639:D639"/>
    <mergeCell ref="E639:H639"/>
    <mergeCell ref="I639:M639"/>
    <mergeCell ref="N639:O639"/>
    <mergeCell ref="P639:S639"/>
    <mergeCell ref="T639:U639"/>
    <mergeCell ref="V639:W639"/>
    <mergeCell ref="X639:Y639"/>
    <mergeCell ref="Z639:AC639"/>
    <mergeCell ref="AD639:AH639"/>
    <mergeCell ref="AI639:AK639"/>
    <mergeCell ref="C640:D640"/>
    <mergeCell ref="E640:H640"/>
    <mergeCell ref="I640:M640"/>
    <mergeCell ref="N640:O640"/>
    <mergeCell ref="P640:S640"/>
    <mergeCell ref="T640:U640"/>
    <mergeCell ref="V640:W640"/>
    <mergeCell ref="X640:Y640"/>
    <mergeCell ref="Z640:AC640"/>
    <mergeCell ref="AD640:AH640"/>
    <mergeCell ref="AI640:AK640"/>
    <mergeCell ref="C641:D641"/>
    <mergeCell ref="E641:H641"/>
    <mergeCell ref="I641:M641"/>
    <mergeCell ref="N641:O641"/>
    <mergeCell ref="P641:S641"/>
    <mergeCell ref="T641:U641"/>
    <mergeCell ref="V641:W641"/>
    <mergeCell ref="X641:Y641"/>
    <mergeCell ref="Z641:AC641"/>
    <mergeCell ref="AD641:AH641"/>
    <mergeCell ref="AI641:AK641"/>
    <mergeCell ref="C642:D642"/>
    <mergeCell ref="E642:H642"/>
    <mergeCell ref="I642:M642"/>
    <mergeCell ref="N642:O642"/>
    <mergeCell ref="P642:S642"/>
    <mergeCell ref="T642:U642"/>
    <mergeCell ref="V642:W642"/>
    <mergeCell ref="X642:Y642"/>
    <mergeCell ref="Z642:AC642"/>
    <mergeCell ref="AD642:AH642"/>
    <mergeCell ref="AI642:AK642"/>
    <mergeCell ref="C643:D643"/>
    <mergeCell ref="E643:H643"/>
    <mergeCell ref="I643:M643"/>
    <mergeCell ref="N643:O643"/>
    <mergeCell ref="P643:S643"/>
    <mergeCell ref="T643:U643"/>
    <mergeCell ref="V643:W643"/>
    <mergeCell ref="X643:Y643"/>
    <mergeCell ref="Z643:AC643"/>
    <mergeCell ref="AD643:AH643"/>
    <mergeCell ref="AI643:AK643"/>
    <mergeCell ref="C644:D644"/>
    <mergeCell ref="E644:H644"/>
    <mergeCell ref="I644:M644"/>
    <mergeCell ref="N644:O644"/>
    <mergeCell ref="P644:S644"/>
    <mergeCell ref="T644:U644"/>
    <mergeCell ref="V644:W644"/>
    <mergeCell ref="X644:Y644"/>
    <mergeCell ref="Z644:AC644"/>
    <mergeCell ref="AD644:AH644"/>
    <mergeCell ref="AI644:AK644"/>
    <mergeCell ref="C645:D645"/>
    <mergeCell ref="E645:H645"/>
    <mergeCell ref="I645:M645"/>
    <mergeCell ref="N645:O645"/>
    <mergeCell ref="P645:S645"/>
    <mergeCell ref="T645:U645"/>
    <mergeCell ref="V645:W645"/>
    <mergeCell ref="X645:Y645"/>
    <mergeCell ref="Z645:AC645"/>
    <mergeCell ref="AD645:AH645"/>
    <mergeCell ref="AI645:AK645"/>
    <mergeCell ref="C646:D646"/>
    <mergeCell ref="E646:H646"/>
    <mergeCell ref="I646:M646"/>
    <mergeCell ref="N646:O646"/>
    <mergeCell ref="P646:S646"/>
    <mergeCell ref="T646:U646"/>
    <mergeCell ref="V646:W646"/>
    <mergeCell ref="X646:Y646"/>
    <mergeCell ref="Z646:AC646"/>
    <mergeCell ref="AD646:AH646"/>
    <mergeCell ref="AI646:AK646"/>
    <mergeCell ref="C647:D647"/>
    <mergeCell ref="E647:H647"/>
    <mergeCell ref="I647:M647"/>
    <mergeCell ref="N647:O647"/>
    <mergeCell ref="P647:S647"/>
    <mergeCell ref="T647:U647"/>
    <mergeCell ref="V647:W647"/>
    <mergeCell ref="X647:Y647"/>
    <mergeCell ref="Z647:AC647"/>
    <mergeCell ref="AD647:AH647"/>
    <mergeCell ref="AI647:AK647"/>
    <mergeCell ref="C648:D648"/>
    <mergeCell ref="E648:H648"/>
    <mergeCell ref="I648:M648"/>
    <mergeCell ref="N648:O648"/>
    <mergeCell ref="P648:S648"/>
    <mergeCell ref="T648:U648"/>
    <mergeCell ref="V648:W648"/>
    <mergeCell ref="X648:Y648"/>
    <mergeCell ref="Z648:AC648"/>
    <mergeCell ref="AD648:AH648"/>
    <mergeCell ref="AI648:AK648"/>
    <mergeCell ref="C649:D649"/>
    <mergeCell ref="E649:H649"/>
    <mergeCell ref="I649:M649"/>
    <mergeCell ref="N649:O649"/>
    <mergeCell ref="P649:S649"/>
    <mergeCell ref="T649:U649"/>
    <mergeCell ref="V649:W649"/>
    <mergeCell ref="X649:Y649"/>
    <mergeCell ref="Z649:AC649"/>
    <mergeCell ref="AD649:AH649"/>
    <mergeCell ref="AI649:AK649"/>
    <mergeCell ref="C650:D650"/>
    <mergeCell ref="E650:H650"/>
    <mergeCell ref="I650:M650"/>
    <mergeCell ref="N650:O650"/>
    <mergeCell ref="P650:S650"/>
    <mergeCell ref="T650:U650"/>
    <mergeCell ref="V650:W650"/>
    <mergeCell ref="X650:Y650"/>
    <mergeCell ref="Z650:AC650"/>
    <mergeCell ref="AD650:AH650"/>
    <mergeCell ref="AI650:AK650"/>
    <mergeCell ref="C651:D651"/>
    <mergeCell ref="E651:H651"/>
    <mergeCell ref="I651:M651"/>
    <mergeCell ref="N651:O651"/>
    <mergeCell ref="P651:S651"/>
    <mergeCell ref="T651:U651"/>
    <mergeCell ref="V651:W651"/>
    <mergeCell ref="X651:Y651"/>
    <mergeCell ref="Z651:AC651"/>
    <mergeCell ref="AD651:AH651"/>
    <mergeCell ref="AI651:AK651"/>
    <mergeCell ref="C652:D652"/>
    <mergeCell ref="E652:H652"/>
    <mergeCell ref="I652:M652"/>
    <mergeCell ref="N652:O652"/>
    <mergeCell ref="P652:S652"/>
    <mergeCell ref="T652:U652"/>
    <mergeCell ref="V652:W652"/>
    <mergeCell ref="X652:Y652"/>
    <mergeCell ref="Z652:AC652"/>
    <mergeCell ref="AD652:AH652"/>
    <mergeCell ref="AI652:AK652"/>
    <mergeCell ref="C653:D653"/>
    <mergeCell ref="E653:H653"/>
    <mergeCell ref="I653:M653"/>
    <mergeCell ref="N653:O653"/>
    <mergeCell ref="P653:S653"/>
    <mergeCell ref="T653:U653"/>
    <mergeCell ref="V653:W653"/>
    <mergeCell ref="X653:Y653"/>
    <mergeCell ref="Z653:AC653"/>
    <mergeCell ref="AD653:AH653"/>
    <mergeCell ref="AI653:AK653"/>
    <mergeCell ref="C654:D654"/>
    <mergeCell ref="E654:H654"/>
    <mergeCell ref="I654:M654"/>
    <mergeCell ref="N654:O654"/>
    <mergeCell ref="P654:S654"/>
    <mergeCell ref="T654:U654"/>
    <mergeCell ref="V654:W654"/>
    <mergeCell ref="X654:Y654"/>
    <mergeCell ref="Z654:AC654"/>
    <mergeCell ref="AD654:AH654"/>
    <mergeCell ref="AI654:AK654"/>
    <mergeCell ref="C655:D655"/>
    <mergeCell ref="E655:H655"/>
    <mergeCell ref="I655:M655"/>
    <mergeCell ref="N655:O655"/>
    <mergeCell ref="P655:S655"/>
    <mergeCell ref="T655:U655"/>
    <mergeCell ref="V655:W655"/>
    <mergeCell ref="X655:Y655"/>
    <mergeCell ref="Z655:AC655"/>
    <mergeCell ref="AD655:AH655"/>
    <mergeCell ref="AI655:AK655"/>
    <mergeCell ref="C656:D656"/>
    <mergeCell ref="E656:H656"/>
    <mergeCell ref="I656:M656"/>
    <mergeCell ref="N656:O656"/>
    <mergeCell ref="P656:S656"/>
    <mergeCell ref="T656:U656"/>
    <mergeCell ref="V656:W656"/>
    <mergeCell ref="X656:Y656"/>
    <mergeCell ref="Z656:AC656"/>
    <mergeCell ref="AD656:AH656"/>
    <mergeCell ref="AI656:AK656"/>
    <mergeCell ref="C657:D657"/>
    <mergeCell ref="E657:H657"/>
    <mergeCell ref="I657:M657"/>
    <mergeCell ref="N657:O657"/>
    <mergeCell ref="P657:S657"/>
    <mergeCell ref="T657:U657"/>
    <mergeCell ref="V657:W657"/>
    <mergeCell ref="X657:Y657"/>
    <mergeCell ref="Z657:AC657"/>
    <mergeCell ref="AD657:AH657"/>
    <mergeCell ref="AI657:AK657"/>
    <mergeCell ref="C658:D658"/>
    <mergeCell ref="E658:H658"/>
    <mergeCell ref="I658:M658"/>
    <mergeCell ref="N658:O658"/>
    <mergeCell ref="P658:S658"/>
    <mergeCell ref="T658:U658"/>
    <mergeCell ref="V658:W658"/>
    <mergeCell ref="X658:Y658"/>
    <mergeCell ref="Z658:AC658"/>
    <mergeCell ref="AD658:AH658"/>
    <mergeCell ref="AI658:AK658"/>
    <mergeCell ref="C659:D659"/>
    <mergeCell ref="E659:H659"/>
    <mergeCell ref="I659:M659"/>
    <mergeCell ref="N659:O659"/>
    <mergeCell ref="P659:S659"/>
    <mergeCell ref="T659:U659"/>
    <mergeCell ref="V659:W659"/>
    <mergeCell ref="X659:Y659"/>
    <mergeCell ref="Z659:AC659"/>
    <mergeCell ref="AD659:AH659"/>
    <mergeCell ref="AI659:AK659"/>
    <mergeCell ref="C660:D660"/>
    <mergeCell ref="E660:H660"/>
    <mergeCell ref="I660:M660"/>
    <mergeCell ref="N660:O660"/>
    <mergeCell ref="P660:S660"/>
    <mergeCell ref="T660:U660"/>
    <mergeCell ref="V660:W660"/>
    <mergeCell ref="X660:Y660"/>
    <mergeCell ref="Z660:AC660"/>
    <mergeCell ref="AD660:AH660"/>
    <mergeCell ref="AI660:AK660"/>
    <mergeCell ref="C661:D661"/>
    <mergeCell ref="E661:H661"/>
    <mergeCell ref="I661:M661"/>
    <mergeCell ref="N661:O661"/>
    <mergeCell ref="P661:S661"/>
    <mergeCell ref="T661:U661"/>
    <mergeCell ref="V661:W661"/>
    <mergeCell ref="X661:Y661"/>
    <mergeCell ref="Z661:AC661"/>
    <mergeCell ref="AD661:AH661"/>
    <mergeCell ref="AI661:AK661"/>
    <mergeCell ref="C662:D662"/>
    <mergeCell ref="E662:H662"/>
    <mergeCell ref="I662:M662"/>
    <mergeCell ref="N662:O662"/>
    <mergeCell ref="P662:S662"/>
    <mergeCell ref="T662:U662"/>
    <mergeCell ref="V662:W662"/>
    <mergeCell ref="X662:Y662"/>
    <mergeCell ref="Z662:AC662"/>
    <mergeCell ref="AD662:AH662"/>
    <mergeCell ref="AI662:AK662"/>
    <mergeCell ref="C663:D663"/>
    <mergeCell ref="E663:H663"/>
    <mergeCell ref="I663:M663"/>
    <mergeCell ref="N663:O663"/>
    <mergeCell ref="P663:S663"/>
    <mergeCell ref="T663:U663"/>
    <mergeCell ref="V663:W663"/>
    <mergeCell ref="X663:Y663"/>
    <mergeCell ref="Z663:AC663"/>
    <mergeCell ref="AD663:AH663"/>
    <mergeCell ref="AI663:AK663"/>
    <mergeCell ref="C664:D664"/>
    <mergeCell ref="E664:H664"/>
    <mergeCell ref="I664:M664"/>
    <mergeCell ref="N664:O664"/>
    <mergeCell ref="P664:S664"/>
    <mergeCell ref="T664:U664"/>
    <mergeCell ref="V664:W664"/>
    <mergeCell ref="X664:Y664"/>
    <mergeCell ref="Z664:AC664"/>
    <mergeCell ref="AD664:AH664"/>
    <mergeCell ref="AI664:AK664"/>
    <mergeCell ref="C665:D665"/>
    <mergeCell ref="E665:H665"/>
    <mergeCell ref="I665:M665"/>
    <mergeCell ref="N665:O665"/>
    <mergeCell ref="P665:S665"/>
    <mergeCell ref="T665:U665"/>
    <mergeCell ref="V665:W665"/>
    <mergeCell ref="X665:Y665"/>
    <mergeCell ref="Z665:AC665"/>
    <mergeCell ref="AD665:AH665"/>
    <mergeCell ref="AI665:AK665"/>
    <mergeCell ref="C666:D666"/>
    <mergeCell ref="E666:H666"/>
    <mergeCell ref="I666:M666"/>
    <mergeCell ref="N666:O666"/>
    <mergeCell ref="P666:S666"/>
    <mergeCell ref="T666:U666"/>
    <mergeCell ref="V666:W666"/>
    <mergeCell ref="X666:Y666"/>
    <mergeCell ref="Z666:AC666"/>
    <mergeCell ref="AD666:AH666"/>
    <mergeCell ref="AI666:AK666"/>
    <mergeCell ref="V667:W667"/>
    <mergeCell ref="C668:D668"/>
    <mergeCell ref="E668:H668"/>
    <mergeCell ref="I668:M668"/>
    <mergeCell ref="N668:O668"/>
    <mergeCell ref="P668:S668"/>
    <mergeCell ref="T668:U668"/>
    <mergeCell ref="V668:W668"/>
    <mergeCell ref="X668:Y668"/>
    <mergeCell ref="Z668:AC668"/>
    <mergeCell ref="AD668:AH668"/>
    <mergeCell ref="AI668:AK668"/>
    <mergeCell ref="C669:D669"/>
    <mergeCell ref="E669:H669"/>
    <mergeCell ref="I669:M669"/>
    <mergeCell ref="N669:O669"/>
    <mergeCell ref="P669:S669"/>
    <mergeCell ref="T669:U669"/>
    <mergeCell ref="V669:W669"/>
    <mergeCell ref="X669:Y669"/>
    <mergeCell ref="Z669:AC669"/>
    <mergeCell ref="AD669:AH669"/>
    <mergeCell ref="AI669:AK669"/>
    <mergeCell ref="C670:D670"/>
    <mergeCell ref="E670:H670"/>
    <mergeCell ref="I670:M670"/>
    <mergeCell ref="N670:O670"/>
    <mergeCell ref="P670:S670"/>
    <mergeCell ref="T670:U670"/>
    <mergeCell ref="V670:W670"/>
    <mergeCell ref="X670:Y670"/>
    <mergeCell ref="Z670:AC670"/>
    <mergeCell ref="AD670:AH670"/>
    <mergeCell ref="AI670:AK670"/>
    <mergeCell ref="C671:D671"/>
    <mergeCell ref="E671:H671"/>
    <mergeCell ref="I671:M671"/>
    <mergeCell ref="N671:O671"/>
    <mergeCell ref="P671:S671"/>
    <mergeCell ref="T671:U671"/>
    <mergeCell ref="V671:W671"/>
    <mergeCell ref="X671:Y671"/>
    <mergeCell ref="Z671:AC671"/>
    <mergeCell ref="AD671:AH671"/>
    <mergeCell ref="AI671:AK671"/>
    <mergeCell ref="C672:D672"/>
    <mergeCell ref="E672:H672"/>
    <mergeCell ref="I672:M672"/>
    <mergeCell ref="N672:O672"/>
    <mergeCell ref="P672:S672"/>
    <mergeCell ref="T672:U672"/>
    <mergeCell ref="V672:W672"/>
    <mergeCell ref="X672:Y672"/>
    <mergeCell ref="Z672:AC672"/>
    <mergeCell ref="AD672:AH672"/>
    <mergeCell ref="AI672:AK672"/>
    <mergeCell ref="C673:D673"/>
    <mergeCell ref="E673:H673"/>
    <mergeCell ref="I673:M673"/>
    <mergeCell ref="N673:O673"/>
    <mergeCell ref="P673:S673"/>
    <mergeCell ref="T673:U673"/>
    <mergeCell ref="V673:W673"/>
    <mergeCell ref="X673:Y673"/>
    <mergeCell ref="Z673:AC673"/>
    <mergeCell ref="AD673:AH673"/>
    <mergeCell ref="AI673:AK673"/>
    <mergeCell ref="C674:D674"/>
    <mergeCell ref="E674:H674"/>
    <mergeCell ref="I674:M674"/>
    <mergeCell ref="N674:O674"/>
    <mergeCell ref="P674:S674"/>
    <mergeCell ref="T674:U674"/>
    <mergeCell ref="V674:W674"/>
    <mergeCell ref="X674:Y674"/>
    <mergeCell ref="Z674:AC674"/>
    <mergeCell ref="AD674:AH674"/>
    <mergeCell ref="AI674:AK674"/>
    <mergeCell ref="C675:D675"/>
    <mergeCell ref="E675:H675"/>
    <mergeCell ref="I675:M675"/>
    <mergeCell ref="N675:O675"/>
    <mergeCell ref="P675:S675"/>
    <mergeCell ref="T675:U675"/>
    <mergeCell ref="V675:W675"/>
    <mergeCell ref="X675:Y675"/>
    <mergeCell ref="Z675:AC675"/>
    <mergeCell ref="AD675:AH675"/>
    <mergeCell ref="AI675:AK675"/>
    <mergeCell ref="C676:D676"/>
    <mergeCell ref="E676:H676"/>
    <mergeCell ref="I676:M676"/>
    <mergeCell ref="N676:O676"/>
    <mergeCell ref="P676:S676"/>
    <mergeCell ref="T676:U676"/>
    <mergeCell ref="V676:W676"/>
    <mergeCell ref="X676:Y676"/>
    <mergeCell ref="Z676:AC676"/>
    <mergeCell ref="AD676:AH676"/>
    <mergeCell ref="AI676:AK676"/>
    <mergeCell ref="C677:D677"/>
    <mergeCell ref="E677:H677"/>
    <mergeCell ref="I677:M677"/>
    <mergeCell ref="N677:O677"/>
    <mergeCell ref="P677:S677"/>
    <mergeCell ref="T677:U677"/>
    <mergeCell ref="V677:W677"/>
    <mergeCell ref="X677:Y677"/>
    <mergeCell ref="Z677:AC677"/>
    <mergeCell ref="AD677:AH677"/>
    <mergeCell ref="AI677:AK677"/>
    <mergeCell ref="C678:D678"/>
    <mergeCell ref="E678:H678"/>
    <mergeCell ref="I678:M678"/>
    <mergeCell ref="N678:O678"/>
    <mergeCell ref="P678:S678"/>
    <mergeCell ref="T678:U678"/>
    <mergeCell ref="V678:W678"/>
    <mergeCell ref="X678:Y678"/>
    <mergeCell ref="Z678:AC678"/>
    <mergeCell ref="AD678:AH678"/>
    <mergeCell ref="AI678:AK678"/>
    <mergeCell ref="C679:D679"/>
    <mergeCell ref="E679:H679"/>
    <mergeCell ref="I679:M679"/>
    <mergeCell ref="N679:O679"/>
    <mergeCell ref="P679:S679"/>
    <mergeCell ref="T679:U679"/>
    <mergeCell ref="V679:W679"/>
    <mergeCell ref="X679:Y679"/>
    <mergeCell ref="Z679:AC679"/>
    <mergeCell ref="AD679:AH679"/>
    <mergeCell ref="AI679:AK679"/>
    <mergeCell ref="C680:D680"/>
    <mergeCell ref="E680:H680"/>
    <mergeCell ref="I680:M680"/>
    <mergeCell ref="N680:O680"/>
    <mergeCell ref="P680:S680"/>
    <mergeCell ref="T680:U680"/>
    <mergeCell ref="V680:W680"/>
    <mergeCell ref="X680:Y680"/>
    <mergeCell ref="Z680:AC680"/>
    <mergeCell ref="AD680:AH680"/>
    <mergeCell ref="AI680:AK680"/>
    <mergeCell ref="C681:D681"/>
    <mergeCell ref="E681:H681"/>
    <mergeCell ref="I681:M681"/>
    <mergeCell ref="N681:O681"/>
    <mergeCell ref="P681:S681"/>
    <mergeCell ref="T681:U681"/>
    <mergeCell ref="V681:W681"/>
    <mergeCell ref="X681:Y681"/>
    <mergeCell ref="Z681:AC681"/>
    <mergeCell ref="AD681:AH681"/>
    <mergeCell ref="AI681:AK681"/>
    <mergeCell ref="C682:D682"/>
    <mergeCell ref="E682:H682"/>
    <mergeCell ref="I682:M682"/>
    <mergeCell ref="N682:O682"/>
    <mergeCell ref="P682:S682"/>
    <mergeCell ref="T682:U682"/>
    <mergeCell ref="V682:W682"/>
    <mergeCell ref="X682:Y682"/>
    <mergeCell ref="Z682:AC682"/>
    <mergeCell ref="AD682:AH682"/>
    <mergeCell ref="AI682:AK682"/>
    <mergeCell ref="C683:D683"/>
    <mergeCell ref="E683:H683"/>
    <mergeCell ref="I683:M683"/>
    <mergeCell ref="N683:O683"/>
    <mergeCell ref="P683:S683"/>
    <mergeCell ref="T683:U683"/>
    <mergeCell ref="V683:W683"/>
    <mergeCell ref="X683:Y683"/>
    <mergeCell ref="Z683:AC683"/>
    <mergeCell ref="AD683:AH683"/>
    <mergeCell ref="AI683:AK683"/>
    <mergeCell ref="C684:D684"/>
    <mergeCell ref="E684:H684"/>
    <mergeCell ref="I684:M684"/>
    <mergeCell ref="N684:O684"/>
    <mergeCell ref="P684:S684"/>
    <mergeCell ref="T684:U684"/>
    <mergeCell ref="V684:W684"/>
    <mergeCell ref="X684:Y684"/>
    <mergeCell ref="Z684:AC684"/>
    <mergeCell ref="AD684:AH684"/>
    <mergeCell ref="AI684:AK684"/>
    <mergeCell ref="C685:D685"/>
    <mergeCell ref="E685:H685"/>
    <mergeCell ref="I685:M685"/>
    <mergeCell ref="N685:O685"/>
    <mergeCell ref="P685:S685"/>
    <mergeCell ref="T685:U685"/>
    <mergeCell ref="V685:W685"/>
    <mergeCell ref="X685:Y685"/>
    <mergeCell ref="Z685:AC685"/>
    <mergeCell ref="AD685:AH685"/>
    <mergeCell ref="AI685:AK685"/>
    <mergeCell ref="C686:D686"/>
    <mergeCell ref="E686:H686"/>
    <mergeCell ref="I686:M686"/>
    <mergeCell ref="N686:O686"/>
    <mergeCell ref="P686:S686"/>
    <mergeCell ref="T686:U686"/>
    <mergeCell ref="V686:W686"/>
    <mergeCell ref="X686:Y686"/>
    <mergeCell ref="Z686:AC686"/>
    <mergeCell ref="AD686:AH686"/>
    <mergeCell ref="AI686:AK686"/>
    <mergeCell ref="C687:D687"/>
    <mergeCell ref="E687:H687"/>
    <mergeCell ref="I687:M687"/>
    <mergeCell ref="N687:O687"/>
    <mergeCell ref="P687:S687"/>
    <mergeCell ref="T687:U687"/>
    <mergeCell ref="V687:W687"/>
    <mergeCell ref="X687:Y687"/>
    <mergeCell ref="Z687:AC687"/>
    <mergeCell ref="AD687:AH687"/>
    <mergeCell ref="AI687:AK687"/>
    <mergeCell ref="C688:D688"/>
    <mergeCell ref="E688:H688"/>
    <mergeCell ref="I688:M688"/>
    <mergeCell ref="N688:O688"/>
    <mergeCell ref="P688:S688"/>
    <mergeCell ref="T688:U688"/>
    <mergeCell ref="V688:W688"/>
    <mergeCell ref="X688:Y688"/>
    <mergeCell ref="Z688:AC688"/>
    <mergeCell ref="AD688:AH688"/>
    <mergeCell ref="AI688:AK688"/>
    <mergeCell ref="C689:D689"/>
    <mergeCell ref="E689:H689"/>
    <mergeCell ref="I689:M689"/>
    <mergeCell ref="N689:O689"/>
    <mergeCell ref="P689:S689"/>
    <mergeCell ref="T689:U689"/>
    <mergeCell ref="V689:W689"/>
    <mergeCell ref="X689:Y689"/>
    <mergeCell ref="Z689:AC689"/>
    <mergeCell ref="AD689:AH689"/>
    <mergeCell ref="AI689:AK689"/>
    <mergeCell ref="C690:D690"/>
    <mergeCell ref="E690:H690"/>
    <mergeCell ref="I690:M690"/>
    <mergeCell ref="N690:O690"/>
    <mergeCell ref="P690:S690"/>
    <mergeCell ref="T690:U690"/>
    <mergeCell ref="V690:W690"/>
    <mergeCell ref="X690:Y690"/>
    <mergeCell ref="Z690:AC690"/>
    <mergeCell ref="AD690:AH690"/>
    <mergeCell ref="AI690:AK690"/>
    <mergeCell ref="C691:D691"/>
    <mergeCell ref="E691:H691"/>
    <mergeCell ref="I691:M691"/>
    <mergeCell ref="N691:O691"/>
    <mergeCell ref="P691:S691"/>
    <mergeCell ref="T691:U691"/>
    <mergeCell ref="V691:W691"/>
    <mergeCell ref="X691:Y691"/>
    <mergeCell ref="Z691:AC691"/>
    <mergeCell ref="AD691:AH691"/>
    <mergeCell ref="AI691:AK691"/>
    <mergeCell ref="C692:D692"/>
    <mergeCell ref="E692:H692"/>
    <mergeCell ref="I692:M692"/>
    <mergeCell ref="N692:O692"/>
    <mergeCell ref="P692:S692"/>
    <mergeCell ref="T692:U692"/>
    <mergeCell ref="V692:W692"/>
    <mergeCell ref="X692:Y692"/>
    <mergeCell ref="Z692:AC692"/>
    <mergeCell ref="AD692:AH692"/>
    <mergeCell ref="AI692:AK692"/>
    <mergeCell ref="C693:D693"/>
    <mergeCell ref="E693:H693"/>
    <mergeCell ref="I693:M693"/>
    <mergeCell ref="N693:O693"/>
    <mergeCell ref="P693:S693"/>
    <mergeCell ref="T693:U693"/>
    <mergeCell ref="V693:W693"/>
    <mergeCell ref="X693:Y693"/>
    <mergeCell ref="Z693:AC693"/>
    <mergeCell ref="AD693:AH693"/>
    <mergeCell ref="AI693:AK693"/>
    <mergeCell ref="C694:D694"/>
    <mergeCell ref="E694:H694"/>
    <mergeCell ref="I694:M694"/>
    <mergeCell ref="N694:O694"/>
    <mergeCell ref="P694:S694"/>
    <mergeCell ref="T694:U694"/>
    <mergeCell ref="V694:W694"/>
    <mergeCell ref="X694:Y694"/>
    <mergeCell ref="Z694:AC694"/>
    <mergeCell ref="AD694:AH694"/>
    <mergeCell ref="AI694:AK694"/>
    <mergeCell ref="C695:D695"/>
    <mergeCell ref="E695:H695"/>
    <mergeCell ref="I695:M695"/>
    <mergeCell ref="N695:O695"/>
    <mergeCell ref="P695:S695"/>
    <mergeCell ref="T695:U695"/>
    <mergeCell ref="V695:W695"/>
    <mergeCell ref="X695:Y695"/>
    <mergeCell ref="Z695:AC695"/>
    <mergeCell ref="AD695:AH695"/>
    <mergeCell ref="AI695:AK695"/>
    <mergeCell ref="C696:D696"/>
    <mergeCell ref="E696:H696"/>
    <mergeCell ref="I696:M696"/>
    <mergeCell ref="N696:O696"/>
    <mergeCell ref="P696:S696"/>
    <mergeCell ref="T696:U696"/>
    <mergeCell ref="V696:W696"/>
    <mergeCell ref="X696:Y696"/>
    <mergeCell ref="Z696:AC696"/>
    <mergeCell ref="AD696:AH696"/>
    <mergeCell ref="AI696:AK696"/>
    <mergeCell ref="C697:D697"/>
    <mergeCell ref="E697:H697"/>
    <mergeCell ref="I697:M697"/>
    <mergeCell ref="N697:O697"/>
    <mergeCell ref="P697:S697"/>
    <mergeCell ref="T697:U697"/>
    <mergeCell ref="V697:W697"/>
    <mergeCell ref="X697:Y697"/>
    <mergeCell ref="Z697:AC697"/>
    <mergeCell ref="AD697:AH697"/>
    <mergeCell ref="AI697:AK697"/>
    <mergeCell ref="C698:D698"/>
    <mergeCell ref="E698:H698"/>
    <mergeCell ref="I698:M698"/>
    <mergeCell ref="N698:O698"/>
    <mergeCell ref="P698:S698"/>
    <mergeCell ref="T698:U698"/>
    <mergeCell ref="V698:W698"/>
    <mergeCell ref="X698:Y698"/>
    <mergeCell ref="Z698:AC698"/>
    <mergeCell ref="AD698:AH698"/>
    <mergeCell ref="AI698:AK698"/>
    <mergeCell ref="C699:D699"/>
    <mergeCell ref="E699:H699"/>
    <mergeCell ref="I699:M699"/>
    <mergeCell ref="N699:O699"/>
    <mergeCell ref="P699:S699"/>
    <mergeCell ref="T699:U699"/>
    <mergeCell ref="V699:W699"/>
    <mergeCell ref="X699:Y699"/>
    <mergeCell ref="Z699:AC699"/>
    <mergeCell ref="AD699:AH699"/>
    <mergeCell ref="AI699:AK699"/>
    <mergeCell ref="C700:D700"/>
    <mergeCell ref="E700:H700"/>
    <mergeCell ref="I700:M700"/>
    <mergeCell ref="N700:O700"/>
    <mergeCell ref="P700:S700"/>
    <mergeCell ref="T700:U700"/>
    <mergeCell ref="V700:W700"/>
    <mergeCell ref="X700:Y700"/>
    <mergeCell ref="Z700:AC700"/>
    <mergeCell ref="AD700:AH700"/>
    <mergeCell ref="AI700:AK700"/>
    <mergeCell ref="C701:D701"/>
    <mergeCell ref="E701:H701"/>
    <mergeCell ref="I701:M701"/>
    <mergeCell ref="N701:O701"/>
    <mergeCell ref="P701:S701"/>
    <mergeCell ref="T701:U701"/>
    <mergeCell ref="V701:W701"/>
    <mergeCell ref="X701:Y701"/>
    <mergeCell ref="Z701:AC701"/>
    <mergeCell ref="AD701:AH701"/>
    <mergeCell ref="AI701:AK701"/>
    <mergeCell ref="C702:D702"/>
    <mergeCell ref="E702:H702"/>
    <mergeCell ref="I702:M702"/>
    <mergeCell ref="N702:O702"/>
    <mergeCell ref="P702:S702"/>
    <mergeCell ref="T702:U702"/>
    <mergeCell ref="V702:W702"/>
    <mergeCell ref="X702:Y702"/>
    <mergeCell ref="Z702:AC702"/>
    <mergeCell ref="AD702:AH702"/>
    <mergeCell ref="AI702:AK702"/>
    <mergeCell ref="C703:D703"/>
    <mergeCell ref="E703:H703"/>
    <mergeCell ref="I703:M703"/>
    <mergeCell ref="N703:O703"/>
    <mergeCell ref="P703:S703"/>
    <mergeCell ref="T703:U703"/>
    <mergeCell ref="V703:W703"/>
    <mergeCell ref="X703:Y703"/>
    <mergeCell ref="Z703:AC703"/>
    <mergeCell ref="AD703:AH703"/>
    <mergeCell ref="AI703:AK703"/>
    <mergeCell ref="C704:D704"/>
    <mergeCell ref="E704:H704"/>
    <mergeCell ref="I704:M704"/>
    <mergeCell ref="N704:O704"/>
    <mergeCell ref="P704:S704"/>
    <mergeCell ref="T704:U704"/>
    <mergeCell ref="V704:W704"/>
    <mergeCell ref="X704:Y704"/>
    <mergeCell ref="Z704:AC704"/>
    <mergeCell ref="AD704:AH704"/>
    <mergeCell ref="AI704:AK704"/>
    <mergeCell ref="C705:D705"/>
    <mergeCell ref="E705:H705"/>
    <mergeCell ref="I705:M705"/>
    <mergeCell ref="N705:O705"/>
    <mergeCell ref="P705:S705"/>
    <mergeCell ref="T705:U705"/>
    <mergeCell ref="V705:W705"/>
    <mergeCell ref="X705:Y705"/>
    <mergeCell ref="Z705:AC705"/>
    <mergeCell ref="AD705:AH705"/>
    <mergeCell ref="AI705:AK705"/>
    <mergeCell ref="X713:AE713"/>
    <mergeCell ref="R714:AI714"/>
    <mergeCell ref="AF713:AI713"/>
    <mergeCell ref="E715:AD715"/>
    <mergeCell ref="X708:Y708"/>
    <mergeCell ref="Z708:AC708"/>
    <mergeCell ref="AD708:AH708"/>
    <mergeCell ref="AI708:AK708"/>
    <mergeCell ref="C709:AK709"/>
    <mergeCell ref="AA711:AI711"/>
    <mergeCell ref="C706:D706"/>
    <mergeCell ref="E706:H706"/>
    <mergeCell ref="I706:M706"/>
    <mergeCell ref="N706:O706"/>
    <mergeCell ref="P706:S706"/>
    <mergeCell ref="T706:U706"/>
    <mergeCell ref="V706:W706"/>
    <mergeCell ref="X706:Y706"/>
    <mergeCell ref="Z706:AC706"/>
    <mergeCell ref="AD706:AH706"/>
    <mergeCell ref="AI706:AK706"/>
    <mergeCell ref="V707:W707"/>
    <mergeCell ref="C708:H708"/>
    <mergeCell ref="I708:L708"/>
    <mergeCell ref="N708:O708"/>
    <mergeCell ref="P708:S708"/>
    <mergeCell ref="T708:U708"/>
    <mergeCell ref="V708:W708"/>
  </mergeCells>
  <phoneticPr fontId="18" type="noConversion"/>
  <pageMargins left="0" right="0" top="0" bottom="0" header="0" footer="0"/>
  <pageSetup paperSize="9" scale="98" orientation="portrait" r:id="rId1"/>
  <headerFooter alignWithMargins="0"/>
  <rowBreaks count="17" manualBreakCount="17">
    <brk id="51" max="36" man="1"/>
    <brk id="92" max="36" man="1"/>
    <brk id="133" max="36" man="1"/>
    <brk id="174" max="36" man="1"/>
    <brk id="215" max="36" man="1"/>
    <brk id="256" max="36" man="1"/>
    <brk id="297" max="36" man="1"/>
    <brk id="338" max="36" man="1"/>
    <brk id="379" max="36" man="1"/>
    <brk id="420" max="36" man="1"/>
    <brk id="461" max="36" man="1"/>
    <brk id="502" max="36" man="1"/>
    <brk id="543" max="36" man="1"/>
    <brk id="584" max="36" man="1"/>
    <brk id="625" max="36" man="1"/>
    <brk id="666" max="36" man="1"/>
    <brk id="706" max="36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246B64-CCF7-4DE0-81F4-313C90F16957}">
  <dimension ref="A2:G401"/>
  <sheetViews>
    <sheetView showGridLines="0" workbookViewId="0">
      <selection activeCell="J39" sqref="J39"/>
    </sheetView>
  </sheetViews>
  <sheetFormatPr defaultRowHeight="16.5" x14ac:dyDescent="0.3"/>
  <cols>
    <col min="1" max="1" width="9.125" style="39" customWidth="1"/>
    <col min="2" max="2" width="15.625" style="39" customWidth="1"/>
    <col min="3" max="3" width="39.125" style="39" customWidth="1"/>
    <col min="4" max="4" width="11.75" style="39" customWidth="1"/>
    <col min="5" max="6" width="3.875" style="39" customWidth="1"/>
    <col min="7" max="7" width="11.25" style="39" customWidth="1"/>
    <col min="8" max="16384" width="9" style="39"/>
  </cols>
  <sheetData>
    <row r="2" spans="1:7" ht="35.1" customHeight="1" x14ac:dyDescent="0.3">
      <c r="A2" s="151" t="s">
        <v>2117</v>
      </c>
      <c r="B2" s="151"/>
      <c r="C2" s="151"/>
      <c r="D2" s="151"/>
      <c r="E2" s="151"/>
      <c r="F2" s="151"/>
      <c r="G2" s="151"/>
    </row>
    <row r="4" spans="1:7" x14ac:dyDescent="0.3">
      <c r="A4" s="152" t="s">
        <v>2116</v>
      </c>
      <c r="B4" s="150"/>
      <c r="C4" s="150"/>
      <c r="D4" s="150"/>
      <c r="E4" s="150"/>
      <c r="F4" s="150"/>
      <c r="G4" s="150"/>
    </row>
    <row r="5" spans="1:7" x14ac:dyDescent="0.3">
      <c r="A5" s="152" t="s">
        <v>2115</v>
      </c>
      <c r="B5" s="150"/>
      <c r="C5" s="150"/>
      <c r="D5" s="150"/>
      <c r="E5" s="150"/>
      <c r="F5" s="150"/>
      <c r="G5" s="150"/>
    </row>
    <row r="8" spans="1:7" x14ac:dyDescent="0.3">
      <c r="A8" s="153" t="s">
        <v>2114</v>
      </c>
      <c r="B8" s="150"/>
      <c r="C8" s="150"/>
      <c r="D8" s="150"/>
      <c r="E8" s="150"/>
      <c r="F8" s="150"/>
      <c r="G8" s="43" t="s">
        <v>2113</v>
      </c>
    </row>
    <row r="9" spans="1:7" ht="18" customHeight="1" x14ac:dyDescent="0.3">
      <c r="A9" s="40" t="s">
        <v>2112</v>
      </c>
      <c r="B9" s="40" t="s">
        <v>801</v>
      </c>
      <c r="C9" s="40" t="s">
        <v>799</v>
      </c>
      <c r="D9" s="40" t="s">
        <v>2111</v>
      </c>
      <c r="E9" s="40" t="s">
        <v>2110</v>
      </c>
      <c r="F9" s="40" t="s">
        <v>1403</v>
      </c>
      <c r="G9" s="40" t="s">
        <v>798</v>
      </c>
    </row>
    <row r="10" spans="1:7" ht="18" customHeight="1" x14ac:dyDescent="0.3">
      <c r="A10" s="40" t="s">
        <v>2109</v>
      </c>
      <c r="B10" s="40" t="s">
        <v>1413</v>
      </c>
      <c r="C10" s="42" t="s">
        <v>2094</v>
      </c>
      <c r="D10" s="41" t="s">
        <v>1349</v>
      </c>
      <c r="E10" s="40" t="s">
        <v>1411</v>
      </c>
      <c r="F10" s="40" t="s">
        <v>819</v>
      </c>
      <c r="G10" s="40" t="s">
        <v>2093</v>
      </c>
    </row>
    <row r="11" spans="1:7" ht="18" customHeight="1" x14ac:dyDescent="0.3">
      <c r="A11" s="40" t="s">
        <v>2104</v>
      </c>
      <c r="B11" s="40" t="s">
        <v>1422</v>
      </c>
      <c r="C11" s="42" t="s">
        <v>2108</v>
      </c>
      <c r="D11" s="41" t="s">
        <v>2107</v>
      </c>
      <c r="E11" s="40" t="s">
        <v>1419</v>
      </c>
      <c r="F11" s="40" t="s">
        <v>819</v>
      </c>
      <c r="G11" s="40" t="s">
        <v>2106</v>
      </c>
    </row>
    <row r="12" spans="1:7" ht="18" customHeight="1" x14ac:dyDescent="0.3">
      <c r="A12" s="40" t="s">
        <v>2104</v>
      </c>
      <c r="B12" s="40" t="s">
        <v>1422</v>
      </c>
      <c r="C12" s="42" t="s">
        <v>55</v>
      </c>
      <c r="D12" s="41" t="s">
        <v>2105</v>
      </c>
      <c r="E12" s="40" t="s">
        <v>1419</v>
      </c>
      <c r="F12" s="40" t="s">
        <v>819</v>
      </c>
      <c r="G12" s="40" t="s">
        <v>56</v>
      </c>
    </row>
    <row r="13" spans="1:7" ht="18" customHeight="1" x14ac:dyDescent="0.3">
      <c r="A13" s="40" t="s">
        <v>2104</v>
      </c>
      <c r="B13" s="40" t="s">
        <v>1422</v>
      </c>
      <c r="C13" s="42" t="s">
        <v>55</v>
      </c>
      <c r="D13" s="41" t="s">
        <v>1779</v>
      </c>
      <c r="E13" s="40" t="s">
        <v>1419</v>
      </c>
      <c r="F13" s="40" t="s">
        <v>819</v>
      </c>
      <c r="G13" s="40" t="s">
        <v>56</v>
      </c>
    </row>
    <row r="14" spans="1:7" ht="18" customHeight="1" x14ac:dyDescent="0.3">
      <c r="A14" s="40" t="s">
        <v>2102</v>
      </c>
      <c r="B14" s="40" t="s">
        <v>1422</v>
      </c>
      <c r="C14" s="42" t="s">
        <v>1988</v>
      </c>
      <c r="D14" s="41" t="s">
        <v>2103</v>
      </c>
      <c r="E14" s="40" t="s">
        <v>1419</v>
      </c>
      <c r="F14" s="40" t="s">
        <v>819</v>
      </c>
      <c r="G14" s="40" t="s">
        <v>1986</v>
      </c>
    </row>
    <row r="15" spans="1:7" ht="18" customHeight="1" x14ac:dyDescent="0.3">
      <c r="A15" s="40" t="s">
        <v>2102</v>
      </c>
      <c r="B15" s="40" t="s">
        <v>1422</v>
      </c>
      <c r="C15" s="42" t="s">
        <v>1596</v>
      </c>
      <c r="D15" s="41" t="s">
        <v>2101</v>
      </c>
      <c r="E15" s="40" t="s">
        <v>1419</v>
      </c>
      <c r="F15" s="40" t="s">
        <v>819</v>
      </c>
      <c r="G15" s="40" t="s">
        <v>1594</v>
      </c>
    </row>
    <row r="16" spans="1:7" ht="18" customHeight="1" x14ac:dyDescent="0.3">
      <c r="A16" s="40" t="s">
        <v>2100</v>
      </c>
      <c r="B16" s="40" t="s">
        <v>1422</v>
      </c>
      <c r="C16" s="42" t="s">
        <v>1481</v>
      </c>
      <c r="D16" s="41" t="s">
        <v>2099</v>
      </c>
      <c r="E16" s="40" t="s">
        <v>1419</v>
      </c>
      <c r="F16" s="40" t="s">
        <v>819</v>
      </c>
      <c r="G16" s="40" t="s">
        <v>135</v>
      </c>
    </row>
    <row r="17" spans="1:7" ht="18" customHeight="1" x14ac:dyDescent="0.3">
      <c r="A17" s="40" t="s">
        <v>2089</v>
      </c>
      <c r="B17" s="40" t="s">
        <v>1422</v>
      </c>
      <c r="C17" s="42" t="s">
        <v>1498</v>
      </c>
      <c r="D17" s="41" t="s">
        <v>2098</v>
      </c>
      <c r="E17" s="40" t="s">
        <v>1419</v>
      </c>
      <c r="F17" s="40" t="s">
        <v>819</v>
      </c>
      <c r="G17" s="40" t="s">
        <v>898</v>
      </c>
    </row>
    <row r="18" spans="1:7" ht="18" customHeight="1" x14ac:dyDescent="0.3">
      <c r="A18" s="40" t="s">
        <v>2097</v>
      </c>
      <c r="B18" s="40" t="s">
        <v>1422</v>
      </c>
      <c r="C18" s="42" t="s">
        <v>1584</v>
      </c>
      <c r="D18" s="41" t="s">
        <v>2096</v>
      </c>
      <c r="E18" s="40" t="s">
        <v>1419</v>
      </c>
      <c r="F18" s="40" t="s">
        <v>819</v>
      </c>
      <c r="G18" s="40" t="s">
        <v>61</v>
      </c>
    </row>
    <row r="19" spans="1:7" ht="18" customHeight="1" x14ac:dyDescent="0.3">
      <c r="A19" s="40" t="s">
        <v>2095</v>
      </c>
      <c r="B19" s="40" t="s">
        <v>1422</v>
      </c>
      <c r="C19" s="42" t="s">
        <v>608</v>
      </c>
      <c r="D19" s="41" t="s">
        <v>1845</v>
      </c>
      <c r="E19" s="40" t="s">
        <v>1419</v>
      </c>
      <c r="F19" s="40" t="s">
        <v>819</v>
      </c>
      <c r="G19" s="40" t="s">
        <v>148</v>
      </c>
    </row>
    <row r="20" spans="1:7" ht="18" customHeight="1" x14ac:dyDescent="0.3">
      <c r="A20" s="40" t="s">
        <v>2091</v>
      </c>
      <c r="B20" s="40" t="s">
        <v>1413</v>
      </c>
      <c r="C20" s="42" t="s">
        <v>2094</v>
      </c>
      <c r="D20" s="41" t="s">
        <v>1349</v>
      </c>
      <c r="E20" s="40" t="s">
        <v>1411</v>
      </c>
      <c r="F20" s="40" t="s">
        <v>819</v>
      </c>
      <c r="G20" s="40" t="s">
        <v>2093</v>
      </c>
    </row>
    <row r="21" spans="1:7" ht="18" customHeight="1" x14ac:dyDescent="0.3">
      <c r="A21" s="40" t="s">
        <v>2091</v>
      </c>
      <c r="B21" s="40" t="s">
        <v>1422</v>
      </c>
      <c r="C21" s="42" t="s">
        <v>1498</v>
      </c>
      <c r="D21" s="41" t="s">
        <v>2092</v>
      </c>
      <c r="E21" s="40" t="s">
        <v>1419</v>
      </c>
      <c r="F21" s="40" t="s">
        <v>819</v>
      </c>
      <c r="G21" s="40" t="s">
        <v>898</v>
      </c>
    </row>
    <row r="22" spans="1:7" ht="18" customHeight="1" x14ac:dyDescent="0.3">
      <c r="A22" s="40" t="s">
        <v>2091</v>
      </c>
      <c r="B22" s="40" t="s">
        <v>1422</v>
      </c>
      <c r="C22" s="42" t="s">
        <v>1481</v>
      </c>
      <c r="D22" s="41" t="s">
        <v>2090</v>
      </c>
      <c r="E22" s="40" t="s">
        <v>1419</v>
      </c>
      <c r="F22" s="40" t="s">
        <v>819</v>
      </c>
      <c r="G22" s="40" t="s">
        <v>135</v>
      </c>
    </row>
    <row r="23" spans="1:7" ht="18" customHeight="1" x14ac:dyDescent="0.3">
      <c r="A23" s="40" t="s">
        <v>2089</v>
      </c>
      <c r="B23" s="40" t="s">
        <v>1422</v>
      </c>
      <c r="C23" s="42" t="s">
        <v>1481</v>
      </c>
      <c r="D23" s="41" t="s">
        <v>2088</v>
      </c>
      <c r="E23" s="40" t="s">
        <v>1419</v>
      </c>
      <c r="F23" s="40" t="s">
        <v>819</v>
      </c>
      <c r="G23" s="40" t="s">
        <v>135</v>
      </c>
    </row>
    <row r="24" spans="1:7" ht="18" customHeight="1" x14ac:dyDescent="0.3">
      <c r="A24" s="40" t="s">
        <v>2087</v>
      </c>
      <c r="B24" s="40" t="s">
        <v>1422</v>
      </c>
      <c r="C24" s="42" t="s">
        <v>1846</v>
      </c>
      <c r="D24" s="41" t="s">
        <v>2086</v>
      </c>
      <c r="E24" s="40" t="s">
        <v>1419</v>
      </c>
      <c r="F24" s="40" t="s">
        <v>819</v>
      </c>
      <c r="G24" s="40" t="s">
        <v>135</v>
      </c>
    </row>
    <row r="25" spans="1:7" ht="18" customHeight="1" x14ac:dyDescent="0.3">
      <c r="A25" s="40" t="s">
        <v>2084</v>
      </c>
      <c r="B25" s="40" t="s">
        <v>1413</v>
      </c>
      <c r="C25" s="42" t="s">
        <v>1678</v>
      </c>
      <c r="D25" s="41" t="s">
        <v>2085</v>
      </c>
      <c r="E25" s="40" t="s">
        <v>1411</v>
      </c>
      <c r="F25" s="40" t="s">
        <v>819</v>
      </c>
      <c r="G25" s="40" t="s">
        <v>898</v>
      </c>
    </row>
    <row r="26" spans="1:7" ht="18" customHeight="1" x14ac:dyDescent="0.3">
      <c r="A26" s="40" t="s">
        <v>2084</v>
      </c>
      <c r="B26" s="40" t="s">
        <v>1413</v>
      </c>
      <c r="C26" s="42" t="s">
        <v>2083</v>
      </c>
      <c r="D26" s="41" t="s">
        <v>2082</v>
      </c>
      <c r="E26" s="40" t="s">
        <v>1411</v>
      </c>
      <c r="F26" s="40" t="s">
        <v>2081</v>
      </c>
      <c r="G26" s="40" t="s">
        <v>1300</v>
      </c>
    </row>
    <row r="27" spans="1:7" ht="18" customHeight="1" x14ac:dyDescent="0.3">
      <c r="A27" s="40" t="s">
        <v>2075</v>
      </c>
      <c r="B27" s="40" t="s">
        <v>1422</v>
      </c>
      <c r="C27" s="42" t="s">
        <v>1500</v>
      </c>
      <c r="D27" s="41" t="s">
        <v>2080</v>
      </c>
      <c r="E27" s="40" t="s">
        <v>1419</v>
      </c>
      <c r="F27" s="40" t="s">
        <v>819</v>
      </c>
      <c r="G27" s="40" t="s">
        <v>115</v>
      </c>
    </row>
    <row r="28" spans="1:7" ht="18" customHeight="1" x14ac:dyDescent="0.3">
      <c r="A28" s="40" t="s">
        <v>2075</v>
      </c>
      <c r="B28" s="40" t="s">
        <v>1422</v>
      </c>
      <c r="C28" s="42" t="s">
        <v>1500</v>
      </c>
      <c r="D28" s="41" t="s">
        <v>2079</v>
      </c>
      <c r="E28" s="40" t="s">
        <v>1419</v>
      </c>
      <c r="F28" s="40" t="s">
        <v>819</v>
      </c>
      <c r="G28" s="40" t="s">
        <v>115</v>
      </c>
    </row>
    <row r="29" spans="1:7" ht="18" customHeight="1" x14ac:dyDescent="0.3">
      <c r="A29" s="40" t="s">
        <v>2077</v>
      </c>
      <c r="B29" s="40" t="s">
        <v>1422</v>
      </c>
      <c r="C29" s="42" t="s">
        <v>1500</v>
      </c>
      <c r="D29" s="41" t="s">
        <v>2078</v>
      </c>
      <c r="E29" s="40" t="s">
        <v>1419</v>
      </c>
      <c r="F29" s="40" t="s">
        <v>1432</v>
      </c>
      <c r="G29" s="40" t="s">
        <v>115</v>
      </c>
    </row>
    <row r="30" spans="1:7" ht="18" customHeight="1" x14ac:dyDescent="0.3">
      <c r="A30" s="40" t="s">
        <v>2077</v>
      </c>
      <c r="B30" s="40" t="s">
        <v>1422</v>
      </c>
      <c r="C30" s="42" t="s">
        <v>1516</v>
      </c>
      <c r="D30" s="41" t="s">
        <v>1515</v>
      </c>
      <c r="E30" s="40" t="s">
        <v>1419</v>
      </c>
      <c r="F30" s="40" t="s">
        <v>1432</v>
      </c>
      <c r="G30" s="40" t="s">
        <v>115</v>
      </c>
    </row>
    <row r="31" spans="1:7" ht="18" customHeight="1" x14ac:dyDescent="0.3">
      <c r="A31" s="40" t="s">
        <v>2075</v>
      </c>
      <c r="B31" s="40" t="s">
        <v>1422</v>
      </c>
      <c r="C31" s="42" t="s">
        <v>1500</v>
      </c>
      <c r="D31" s="41" t="s">
        <v>2076</v>
      </c>
      <c r="E31" s="40" t="s">
        <v>1419</v>
      </c>
      <c r="F31" s="40" t="s">
        <v>1432</v>
      </c>
      <c r="G31" s="40" t="s">
        <v>115</v>
      </c>
    </row>
    <row r="32" spans="1:7" ht="18" customHeight="1" x14ac:dyDescent="0.3">
      <c r="A32" s="40" t="s">
        <v>2075</v>
      </c>
      <c r="B32" s="40" t="s">
        <v>1422</v>
      </c>
      <c r="C32" s="42" t="s">
        <v>1516</v>
      </c>
      <c r="D32" s="41" t="s">
        <v>1768</v>
      </c>
      <c r="E32" s="40" t="s">
        <v>1419</v>
      </c>
      <c r="F32" s="40" t="s">
        <v>1432</v>
      </c>
      <c r="G32" s="40" t="s">
        <v>115</v>
      </c>
    </row>
    <row r="33" spans="1:7" ht="18" customHeight="1" x14ac:dyDescent="0.3">
      <c r="A33" s="40" t="s">
        <v>2074</v>
      </c>
      <c r="B33" s="40" t="s">
        <v>1413</v>
      </c>
      <c r="C33" s="42" t="s">
        <v>2073</v>
      </c>
      <c r="D33" s="41" t="s">
        <v>2072</v>
      </c>
      <c r="E33" s="40" t="s">
        <v>1411</v>
      </c>
      <c r="F33" s="40" t="s">
        <v>819</v>
      </c>
      <c r="G33" s="40" t="s">
        <v>856</v>
      </c>
    </row>
    <row r="34" spans="1:7" ht="18" customHeight="1" x14ac:dyDescent="0.3">
      <c r="A34" s="40" t="s">
        <v>2071</v>
      </c>
      <c r="B34" s="40" t="s">
        <v>1422</v>
      </c>
      <c r="C34" s="42" t="s">
        <v>2070</v>
      </c>
      <c r="D34" s="41" t="s">
        <v>1929</v>
      </c>
      <c r="E34" s="40" t="s">
        <v>1419</v>
      </c>
      <c r="F34" s="40" t="s">
        <v>819</v>
      </c>
      <c r="G34" s="40" t="s">
        <v>2069</v>
      </c>
    </row>
    <row r="35" spans="1:7" ht="18" customHeight="1" x14ac:dyDescent="0.3">
      <c r="A35" s="40" t="s">
        <v>2068</v>
      </c>
      <c r="B35" s="40" t="s">
        <v>1422</v>
      </c>
      <c r="C35" s="42" t="s">
        <v>1584</v>
      </c>
      <c r="D35" s="41" t="s">
        <v>2067</v>
      </c>
      <c r="E35" s="40" t="s">
        <v>1419</v>
      </c>
      <c r="F35" s="40" t="s">
        <v>819</v>
      </c>
      <c r="G35" s="40" t="s">
        <v>61</v>
      </c>
    </row>
    <row r="36" spans="1:7" ht="18" customHeight="1" x14ac:dyDescent="0.3">
      <c r="A36" s="40" t="s">
        <v>2066</v>
      </c>
      <c r="B36" s="40" t="s">
        <v>1413</v>
      </c>
      <c r="C36" s="42" t="s">
        <v>886</v>
      </c>
      <c r="D36" s="41" t="s">
        <v>2065</v>
      </c>
      <c r="E36" s="40" t="s">
        <v>1411</v>
      </c>
      <c r="F36" s="40" t="s">
        <v>819</v>
      </c>
      <c r="G36" s="40" t="s">
        <v>1665</v>
      </c>
    </row>
    <row r="37" spans="1:7" ht="18" customHeight="1" x14ac:dyDescent="0.3">
      <c r="A37" s="40" t="s">
        <v>2064</v>
      </c>
      <c r="B37" s="40" t="s">
        <v>1422</v>
      </c>
      <c r="C37" s="42" t="s">
        <v>1584</v>
      </c>
      <c r="D37" s="41" t="s">
        <v>2063</v>
      </c>
      <c r="E37" s="40" t="s">
        <v>1419</v>
      </c>
      <c r="F37" s="40" t="s">
        <v>819</v>
      </c>
      <c r="G37" s="40" t="s">
        <v>61</v>
      </c>
    </row>
    <row r="38" spans="1:7" ht="18" customHeight="1" x14ac:dyDescent="0.3">
      <c r="A38" s="40" t="s">
        <v>2062</v>
      </c>
      <c r="B38" s="40" t="s">
        <v>1422</v>
      </c>
      <c r="C38" s="42" t="s">
        <v>80</v>
      </c>
      <c r="D38" s="41" t="s">
        <v>1537</v>
      </c>
      <c r="E38" s="40" t="s">
        <v>1419</v>
      </c>
      <c r="F38" s="40" t="s">
        <v>819</v>
      </c>
      <c r="G38" s="40" t="s">
        <v>81</v>
      </c>
    </row>
    <row r="39" spans="1:7" ht="18" customHeight="1" x14ac:dyDescent="0.3">
      <c r="A39" s="40" t="s">
        <v>2062</v>
      </c>
      <c r="B39" s="40" t="s">
        <v>1422</v>
      </c>
      <c r="C39" s="42" t="s">
        <v>80</v>
      </c>
      <c r="D39" s="41" t="s">
        <v>1838</v>
      </c>
      <c r="E39" s="40" t="s">
        <v>1419</v>
      </c>
      <c r="F39" s="40" t="s">
        <v>819</v>
      </c>
      <c r="G39" s="40" t="s">
        <v>81</v>
      </c>
    </row>
    <row r="40" spans="1:7" ht="18" customHeight="1" x14ac:dyDescent="0.3">
      <c r="A40" s="40" t="s">
        <v>2062</v>
      </c>
      <c r="B40" s="40" t="s">
        <v>1422</v>
      </c>
      <c r="C40" s="42" t="s">
        <v>2061</v>
      </c>
      <c r="D40" s="41" t="s">
        <v>1929</v>
      </c>
      <c r="E40" s="40" t="s">
        <v>1419</v>
      </c>
      <c r="F40" s="40" t="s">
        <v>819</v>
      </c>
      <c r="G40" s="40" t="s">
        <v>86</v>
      </c>
    </row>
    <row r="41" spans="1:7" ht="18" customHeight="1" x14ac:dyDescent="0.3">
      <c r="A41" s="40" t="s">
        <v>2062</v>
      </c>
      <c r="B41" s="40" t="s">
        <v>1422</v>
      </c>
      <c r="C41" s="42" t="s">
        <v>2061</v>
      </c>
      <c r="D41" s="41" t="s">
        <v>2060</v>
      </c>
      <c r="E41" s="40" t="s">
        <v>1419</v>
      </c>
      <c r="F41" s="40" t="s">
        <v>819</v>
      </c>
      <c r="G41" s="40" t="s">
        <v>86</v>
      </c>
    </row>
    <row r="42" spans="1:7" ht="18" customHeight="1" x14ac:dyDescent="0.3">
      <c r="A42" s="40" t="s">
        <v>2059</v>
      </c>
      <c r="B42" s="40" t="s">
        <v>1422</v>
      </c>
      <c r="C42" s="42" t="s">
        <v>1498</v>
      </c>
      <c r="D42" s="41" t="s">
        <v>2058</v>
      </c>
      <c r="E42" s="40" t="s">
        <v>1419</v>
      </c>
      <c r="F42" s="40" t="s">
        <v>819</v>
      </c>
      <c r="G42" s="40" t="s">
        <v>898</v>
      </c>
    </row>
    <row r="43" spans="1:7" ht="18" customHeight="1" x14ac:dyDescent="0.3">
      <c r="A43" s="40" t="s">
        <v>2057</v>
      </c>
      <c r="B43" s="40" t="s">
        <v>1422</v>
      </c>
      <c r="C43" s="42" t="s">
        <v>1481</v>
      </c>
      <c r="D43" s="41" t="s">
        <v>2056</v>
      </c>
      <c r="E43" s="40" t="s">
        <v>1419</v>
      </c>
      <c r="F43" s="40" t="s">
        <v>819</v>
      </c>
      <c r="G43" s="40" t="s">
        <v>135</v>
      </c>
    </row>
    <row r="44" spans="1:7" ht="18" customHeight="1" x14ac:dyDescent="0.3">
      <c r="A44" s="40" t="s">
        <v>2055</v>
      </c>
      <c r="B44" s="40" t="s">
        <v>1422</v>
      </c>
      <c r="C44" s="42" t="s">
        <v>1584</v>
      </c>
      <c r="D44" s="41" t="s">
        <v>2054</v>
      </c>
      <c r="E44" s="40" t="s">
        <v>1419</v>
      </c>
      <c r="F44" s="40" t="s">
        <v>819</v>
      </c>
      <c r="G44" s="40" t="s">
        <v>61</v>
      </c>
    </row>
    <row r="45" spans="1:7" ht="18" customHeight="1" x14ac:dyDescent="0.3">
      <c r="A45" s="40" t="s">
        <v>2053</v>
      </c>
      <c r="B45" s="40" t="s">
        <v>1422</v>
      </c>
      <c r="C45" s="42" t="s">
        <v>1584</v>
      </c>
      <c r="D45" s="41" t="s">
        <v>2052</v>
      </c>
      <c r="E45" s="40" t="s">
        <v>1419</v>
      </c>
      <c r="F45" s="40" t="s">
        <v>819</v>
      </c>
      <c r="G45" s="40" t="s">
        <v>61</v>
      </c>
    </row>
    <row r="46" spans="1:7" ht="18" customHeight="1" x14ac:dyDescent="0.3">
      <c r="A46" s="40" t="s">
        <v>2050</v>
      </c>
      <c r="B46" s="40" t="s">
        <v>1422</v>
      </c>
      <c r="C46" s="42" t="s">
        <v>1498</v>
      </c>
      <c r="D46" s="41" t="s">
        <v>2051</v>
      </c>
      <c r="E46" s="40" t="s">
        <v>1419</v>
      </c>
      <c r="F46" s="40" t="s">
        <v>819</v>
      </c>
      <c r="G46" s="40" t="s">
        <v>898</v>
      </c>
    </row>
    <row r="47" spans="1:7" ht="18" customHeight="1" x14ac:dyDescent="0.3">
      <c r="A47" s="40" t="s">
        <v>2050</v>
      </c>
      <c r="B47" s="40" t="s">
        <v>1422</v>
      </c>
      <c r="C47" s="42" t="s">
        <v>1584</v>
      </c>
      <c r="D47" s="41" t="s">
        <v>2049</v>
      </c>
      <c r="E47" s="40" t="s">
        <v>1419</v>
      </c>
      <c r="F47" s="40" t="s">
        <v>819</v>
      </c>
      <c r="G47" s="40" t="s">
        <v>61</v>
      </c>
    </row>
    <row r="48" spans="1:7" ht="18" customHeight="1" x14ac:dyDescent="0.3">
      <c r="A48" s="40" t="s">
        <v>2047</v>
      </c>
      <c r="B48" s="40" t="s">
        <v>1422</v>
      </c>
      <c r="C48" s="42" t="s">
        <v>1584</v>
      </c>
      <c r="D48" s="41" t="s">
        <v>2048</v>
      </c>
      <c r="E48" s="40" t="s">
        <v>1419</v>
      </c>
      <c r="F48" s="40" t="s">
        <v>819</v>
      </c>
      <c r="G48" s="40" t="s">
        <v>61</v>
      </c>
    </row>
    <row r="49" spans="1:7" ht="18" customHeight="1" x14ac:dyDescent="0.3">
      <c r="A49" s="40" t="s">
        <v>2047</v>
      </c>
      <c r="B49" s="40" t="s">
        <v>1422</v>
      </c>
      <c r="C49" s="42" t="s">
        <v>1584</v>
      </c>
      <c r="D49" s="41" t="s">
        <v>2046</v>
      </c>
      <c r="E49" s="40" t="s">
        <v>1419</v>
      </c>
      <c r="F49" s="40" t="s">
        <v>819</v>
      </c>
      <c r="G49" s="40" t="s">
        <v>61</v>
      </c>
    </row>
    <row r="50" spans="1:7" ht="18" customHeight="1" x14ac:dyDescent="0.3">
      <c r="A50" s="40" t="s">
        <v>2045</v>
      </c>
      <c r="B50" s="40" t="s">
        <v>1422</v>
      </c>
      <c r="C50" s="42" t="s">
        <v>1584</v>
      </c>
      <c r="D50" s="41" t="s">
        <v>2044</v>
      </c>
      <c r="E50" s="40" t="s">
        <v>1419</v>
      </c>
      <c r="F50" s="40" t="s">
        <v>819</v>
      </c>
      <c r="G50" s="40" t="s">
        <v>61</v>
      </c>
    </row>
    <row r="51" spans="1:7" ht="18" customHeight="1" x14ac:dyDescent="0.3">
      <c r="A51" s="40" t="s">
        <v>2043</v>
      </c>
      <c r="B51" s="40" t="s">
        <v>1422</v>
      </c>
      <c r="C51" s="42" t="s">
        <v>1584</v>
      </c>
      <c r="D51" s="41" t="s">
        <v>2042</v>
      </c>
      <c r="E51" s="40" t="s">
        <v>1419</v>
      </c>
      <c r="F51" s="40" t="s">
        <v>819</v>
      </c>
      <c r="G51" s="40" t="s">
        <v>61</v>
      </c>
    </row>
    <row r="52" spans="1:7" ht="18" customHeight="1" x14ac:dyDescent="0.3">
      <c r="A52" s="40" t="s">
        <v>2041</v>
      </c>
      <c r="B52" s="40" t="s">
        <v>1422</v>
      </c>
      <c r="C52" s="42" t="s">
        <v>2040</v>
      </c>
      <c r="D52" s="41" t="s">
        <v>1615</v>
      </c>
      <c r="E52" s="40" t="s">
        <v>1419</v>
      </c>
      <c r="F52" s="40" t="s">
        <v>819</v>
      </c>
      <c r="G52" s="40" t="s">
        <v>2039</v>
      </c>
    </row>
    <row r="53" spans="1:7" ht="18" customHeight="1" x14ac:dyDescent="0.3">
      <c r="A53" s="40" t="s">
        <v>2038</v>
      </c>
      <c r="B53" s="40" t="s">
        <v>1413</v>
      </c>
      <c r="C53" s="42" t="s">
        <v>2007</v>
      </c>
      <c r="D53" s="41" t="s">
        <v>2037</v>
      </c>
      <c r="E53" s="40" t="s">
        <v>1411</v>
      </c>
      <c r="F53" s="40" t="s">
        <v>819</v>
      </c>
      <c r="G53" s="40" t="s">
        <v>856</v>
      </c>
    </row>
    <row r="54" spans="1:7" ht="18" customHeight="1" x14ac:dyDescent="0.3">
      <c r="A54" s="40" t="s">
        <v>2036</v>
      </c>
      <c r="B54" s="40" t="s">
        <v>1422</v>
      </c>
      <c r="C54" s="42" t="s">
        <v>2035</v>
      </c>
      <c r="D54" s="41" t="s">
        <v>2034</v>
      </c>
      <c r="E54" s="40" t="s">
        <v>1419</v>
      </c>
      <c r="F54" s="40" t="s">
        <v>819</v>
      </c>
      <c r="G54" s="40" t="s">
        <v>2033</v>
      </c>
    </row>
    <row r="55" spans="1:7" ht="18" customHeight="1" x14ac:dyDescent="0.3">
      <c r="A55" s="40" t="s">
        <v>2032</v>
      </c>
      <c r="B55" s="40" t="s">
        <v>1422</v>
      </c>
      <c r="C55" s="42" t="s">
        <v>1584</v>
      </c>
      <c r="D55" s="41" t="s">
        <v>2031</v>
      </c>
      <c r="E55" s="40" t="s">
        <v>1419</v>
      </c>
      <c r="F55" s="40" t="s">
        <v>819</v>
      </c>
      <c r="G55" s="40" t="s">
        <v>61</v>
      </c>
    </row>
    <row r="56" spans="1:7" ht="18" customHeight="1" x14ac:dyDescent="0.3">
      <c r="A56" s="40" t="s">
        <v>2030</v>
      </c>
      <c r="B56" s="40" t="s">
        <v>1413</v>
      </c>
      <c r="C56" s="42" t="s">
        <v>886</v>
      </c>
      <c r="D56" s="41" t="s">
        <v>2029</v>
      </c>
      <c r="E56" s="40" t="s">
        <v>1411</v>
      </c>
      <c r="F56" s="40" t="s">
        <v>819</v>
      </c>
      <c r="G56" s="40" t="s">
        <v>1665</v>
      </c>
    </row>
    <row r="57" spans="1:7" ht="18" customHeight="1" x14ac:dyDescent="0.3">
      <c r="A57" s="40" t="s">
        <v>2027</v>
      </c>
      <c r="B57" s="40" t="s">
        <v>1422</v>
      </c>
      <c r="C57" s="42" t="s">
        <v>1988</v>
      </c>
      <c r="D57" s="41" t="s">
        <v>2028</v>
      </c>
      <c r="E57" s="40" t="s">
        <v>1419</v>
      </c>
      <c r="F57" s="40" t="s">
        <v>819</v>
      </c>
      <c r="G57" s="40" t="s">
        <v>1986</v>
      </c>
    </row>
    <row r="58" spans="1:7" ht="18" customHeight="1" x14ac:dyDescent="0.3">
      <c r="A58" s="40" t="s">
        <v>2027</v>
      </c>
      <c r="B58" s="40" t="s">
        <v>1422</v>
      </c>
      <c r="C58" s="42" t="s">
        <v>1584</v>
      </c>
      <c r="D58" s="41" t="s">
        <v>2026</v>
      </c>
      <c r="E58" s="40" t="s">
        <v>1419</v>
      </c>
      <c r="F58" s="40" t="s">
        <v>819</v>
      </c>
      <c r="G58" s="40" t="s">
        <v>61</v>
      </c>
    </row>
    <row r="59" spans="1:7" ht="18" customHeight="1" x14ac:dyDescent="0.3">
      <c r="A59" s="40" t="s">
        <v>2025</v>
      </c>
      <c r="B59" s="40" t="s">
        <v>1422</v>
      </c>
      <c r="C59" s="42" t="s">
        <v>2024</v>
      </c>
      <c r="D59" s="41" t="s">
        <v>1454</v>
      </c>
      <c r="E59" s="40" t="s">
        <v>1419</v>
      </c>
      <c r="F59" s="40" t="s">
        <v>819</v>
      </c>
      <c r="G59" s="40" t="s">
        <v>2023</v>
      </c>
    </row>
    <row r="60" spans="1:7" ht="18" customHeight="1" x14ac:dyDescent="0.3">
      <c r="A60" s="40" t="s">
        <v>2019</v>
      </c>
      <c r="B60" s="40" t="s">
        <v>1422</v>
      </c>
      <c r="C60" s="42" t="s">
        <v>2022</v>
      </c>
      <c r="D60" s="41" t="s">
        <v>2021</v>
      </c>
      <c r="E60" s="40" t="s">
        <v>1419</v>
      </c>
      <c r="F60" s="40" t="s">
        <v>819</v>
      </c>
      <c r="G60" s="40" t="s">
        <v>2020</v>
      </c>
    </row>
    <row r="61" spans="1:7" ht="18" customHeight="1" x14ac:dyDescent="0.3">
      <c r="A61" s="40" t="s">
        <v>2019</v>
      </c>
      <c r="B61" s="40" t="s">
        <v>1422</v>
      </c>
      <c r="C61" s="42" t="s">
        <v>1584</v>
      </c>
      <c r="D61" s="41" t="s">
        <v>1800</v>
      </c>
      <c r="E61" s="40" t="s">
        <v>1419</v>
      </c>
      <c r="F61" s="40" t="s">
        <v>819</v>
      </c>
      <c r="G61" s="40" t="s">
        <v>61</v>
      </c>
    </row>
    <row r="62" spans="1:7" ht="18" customHeight="1" x14ac:dyDescent="0.3">
      <c r="A62" s="40" t="s">
        <v>2017</v>
      </c>
      <c r="B62" s="40" t="s">
        <v>1422</v>
      </c>
      <c r="C62" s="42" t="s">
        <v>1584</v>
      </c>
      <c r="D62" s="41" t="s">
        <v>2018</v>
      </c>
      <c r="E62" s="40" t="s">
        <v>1419</v>
      </c>
      <c r="F62" s="40" t="s">
        <v>819</v>
      </c>
      <c r="G62" s="40" t="s">
        <v>61</v>
      </c>
    </row>
    <row r="63" spans="1:7" ht="18" customHeight="1" x14ac:dyDescent="0.3">
      <c r="A63" s="40" t="s">
        <v>2017</v>
      </c>
      <c r="B63" s="40" t="s">
        <v>1422</v>
      </c>
      <c r="C63" s="42" t="s">
        <v>1596</v>
      </c>
      <c r="D63" s="41" t="s">
        <v>1798</v>
      </c>
      <c r="E63" s="40" t="s">
        <v>1419</v>
      </c>
      <c r="F63" s="40" t="s">
        <v>819</v>
      </c>
      <c r="G63" s="40" t="s">
        <v>1594</v>
      </c>
    </row>
    <row r="64" spans="1:7" ht="18" customHeight="1" x14ac:dyDescent="0.3">
      <c r="A64" s="40" t="s">
        <v>2017</v>
      </c>
      <c r="B64" s="40" t="s">
        <v>1422</v>
      </c>
      <c r="C64" s="42" t="s">
        <v>1596</v>
      </c>
      <c r="D64" s="41" t="s">
        <v>1768</v>
      </c>
      <c r="E64" s="40" t="s">
        <v>1419</v>
      </c>
      <c r="F64" s="40" t="s">
        <v>819</v>
      </c>
      <c r="G64" s="40" t="s">
        <v>1594</v>
      </c>
    </row>
    <row r="65" spans="1:7" ht="18" customHeight="1" x14ac:dyDescent="0.3">
      <c r="A65" s="40" t="s">
        <v>2017</v>
      </c>
      <c r="B65" s="40" t="s">
        <v>1422</v>
      </c>
      <c r="C65" s="42" t="s">
        <v>1421</v>
      </c>
      <c r="D65" s="41" t="s">
        <v>2016</v>
      </c>
      <c r="E65" s="40" t="s">
        <v>1419</v>
      </c>
      <c r="F65" s="40" t="s">
        <v>819</v>
      </c>
      <c r="G65" s="40" t="s">
        <v>1417</v>
      </c>
    </row>
    <row r="66" spans="1:7" ht="18" customHeight="1" x14ac:dyDescent="0.3">
      <c r="A66" s="40" t="s">
        <v>2015</v>
      </c>
      <c r="B66" s="40" t="s">
        <v>1422</v>
      </c>
      <c r="C66" s="42" t="s">
        <v>1584</v>
      </c>
      <c r="D66" s="41" t="s">
        <v>2014</v>
      </c>
      <c r="E66" s="40" t="s">
        <v>1419</v>
      </c>
      <c r="F66" s="40" t="s">
        <v>819</v>
      </c>
      <c r="G66" s="40" t="s">
        <v>61</v>
      </c>
    </row>
    <row r="67" spans="1:7" ht="18" customHeight="1" x14ac:dyDescent="0.3">
      <c r="A67" s="40" t="s">
        <v>2013</v>
      </c>
      <c r="B67" s="40" t="s">
        <v>1422</v>
      </c>
      <c r="C67" s="42" t="s">
        <v>1716</v>
      </c>
      <c r="D67" s="41" t="s">
        <v>1971</v>
      </c>
      <c r="E67" s="40" t="s">
        <v>1419</v>
      </c>
      <c r="F67" s="40" t="s">
        <v>819</v>
      </c>
      <c r="G67" s="40" t="s">
        <v>1714</v>
      </c>
    </row>
    <row r="68" spans="1:7" ht="18" customHeight="1" x14ac:dyDescent="0.3">
      <c r="A68" s="40" t="s">
        <v>2012</v>
      </c>
      <c r="B68" s="40" t="s">
        <v>1422</v>
      </c>
      <c r="C68" s="42" t="s">
        <v>1584</v>
      </c>
      <c r="D68" s="41" t="s">
        <v>2011</v>
      </c>
      <c r="E68" s="40" t="s">
        <v>1419</v>
      </c>
      <c r="F68" s="40" t="s">
        <v>819</v>
      </c>
      <c r="G68" s="40" t="s">
        <v>61</v>
      </c>
    </row>
    <row r="69" spans="1:7" ht="18" customHeight="1" x14ac:dyDescent="0.3">
      <c r="A69" s="40" t="s">
        <v>2010</v>
      </c>
      <c r="B69" s="40" t="s">
        <v>1413</v>
      </c>
      <c r="C69" s="42" t="s">
        <v>1678</v>
      </c>
      <c r="D69" s="41" t="s">
        <v>2009</v>
      </c>
      <c r="E69" s="40" t="s">
        <v>1411</v>
      </c>
      <c r="F69" s="40" t="s">
        <v>819</v>
      </c>
      <c r="G69" s="40" t="s">
        <v>898</v>
      </c>
    </row>
    <row r="70" spans="1:7" ht="18" customHeight="1" x14ac:dyDescent="0.3">
      <c r="A70" s="40" t="s">
        <v>2008</v>
      </c>
      <c r="B70" s="40" t="s">
        <v>1413</v>
      </c>
      <c r="C70" s="42" t="s">
        <v>2007</v>
      </c>
      <c r="D70" s="41" t="s">
        <v>2006</v>
      </c>
      <c r="E70" s="40" t="s">
        <v>1411</v>
      </c>
      <c r="F70" s="40" t="s">
        <v>819</v>
      </c>
      <c r="G70" s="40" t="s">
        <v>856</v>
      </c>
    </row>
    <row r="71" spans="1:7" ht="18" customHeight="1" x14ac:dyDescent="0.3">
      <c r="A71" s="40" t="s">
        <v>2005</v>
      </c>
      <c r="B71" s="40" t="s">
        <v>1422</v>
      </c>
      <c r="C71" s="42" t="s">
        <v>80</v>
      </c>
      <c r="D71" s="41" t="s">
        <v>2004</v>
      </c>
      <c r="E71" s="40" t="s">
        <v>1419</v>
      </c>
      <c r="F71" s="40" t="s">
        <v>819</v>
      </c>
      <c r="G71" s="40" t="s">
        <v>81</v>
      </c>
    </row>
    <row r="72" spans="1:7" ht="18" customHeight="1" x14ac:dyDescent="0.3">
      <c r="A72" s="40" t="s">
        <v>2003</v>
      </c>
      <c r="B72" s="40" t="s">
        <v>1422</v>
      </c>
      <c r="C72" s="42" t="s">
        <v>1584</v>
      </c>
      <c r="D72" s="41" t="s">
        <v>2002</v>
      </c>
      <c r="E72" s="40" t="s">
        <v>1419</v>
      </c>
      <c r="F72" s="40" t="s">
        <v>819</v>
      </c>
      <c r="G72" s="40" t="s">
        <v>61</v>
      </c>
    </row>
    <row r="73" spans="1:7" ht="18" customHeight="1" x14ac:dyDescent="0.3">
      <c r="A73" s="40" t="s">
        <v>2001</v>
      </c>
      <c r="B73" s="40" t="s">
        <v>1413</v>
      </c>
      <c r="C73" s="42" t="s">
        <v>886</v>
      </c>
      <c r="D73" s="41" t="s">
        <v>2000</v>
      </c>
      <c r="E73" s="40" t="s">
        <v>1411</v>
      </c>
      <c r="F73" s="40" t="s">
        <v>819</v>
      </c>
      <c r="G73" s="40" t="s">
        <v>1665</v>
      </c>
    </row>
    <row r="74" spans="1:7" ht="18" customHeight="1" x14ac:dyDescent="0.3">
      <c r="A74" s="40" t="s">
        <v>1997</v>
      </c>
      <c r="B74" s="40" t="s">
        <v>1422</v>
      </c>
      <c r="C74" s="42" t="s">
        <v>1498</v>
      </c>
      <c r="D74" s="41" t="s">
        <v>1999</v>
      </c>
      <c r="E74" s="40" t="s">
        <v>1419</v>
      </c>
      <c r="F74" s="40" t="s">
        <v>819</v>
      </c>
      <c r="G74" s="40" t="s">
        <v>898</v>
      </c>
    </row>
    <row r="75" spans="1:7" ht="18" customHeight="1" x14ac:dyDescent="0.3">
      <c r="A75" s="40" t="s">
        <v>1997</v>
      </c>
      <c r="B75" s="40" t="s">
        <v>1422</v>
      </c>
      <c r="C75" s="42" t="s">
        <v>1988</v>
      </c>
      <c r="D75" s="41" t="s">
        <v>1998</v>
      </c>
      <c r="E75" s="40" t="s">
        <v>1419</v>
      </c>
      <c r="F75" s="40" t="s">
        <v>819</v>
      </c>
      <c r="G75" s="40" t="s">
        <v>1986</v>
      </c>
    </row>
    <row r="76" spans="1:7" ht="18" customHeight="1" x14ac:dyDescent="0.3">
      <c r="A76" s="40" t="s">
        <v>1997</v>
      </c>
      <c r="B76" s="40" t="s">
        <v>1422</v>
      </c>
      <c r="C76" s="42" t="s">
        <v>1584</v>
      </c>
      <c r="D76" s="41" t="s">
        <v>1996</v>
      </c>
      <c r="E76" s="40" t="s">
        <v>1419</v>
      </c>
      <c r="F76" s="40" t="s">
        <v>819</v>
      </c>
      <c r="G76" s="40" t="s">
        <v>61</v>
      </c>
    </row>
    <row r="77" spans="1:7" ht="18" customHeight="1" x14ac:dyDescent="0.3">
      <c r="A77" s="40" t="s">
        <v>1995</v>
      </c>
      <c r="B77" s="40" t="s">
        <v>1422</v>
      </c>
      <c r="C77" s="42" t="s">
        <v>1988</v>
      </c>
      <c r="D77" s="41" t="s">
        <v>1994</v>
      </c>
      <c r="E77" s="40" t="s">
        <v>1419</v>
      </c>
      <c r="F77" s="40" t="s">
        <v>819</v>
      </c>
      <c r="G77" s="40" t="s">
        <v>1986</v>
      </c>
    </row>
    <row r="78" spans="1:7" ht="18" customHeight="1" x14ac:dyDescent="0.3">
      <c r="A78" s="40" t="s">
        <v>1993</v>
      </c>
      <c r="B78" s="40" t="s">
        <v>1422</v>
      </c>
      <c r="C78" s="42" t="s">
        <v>1498</v>
      </c>
      <c r="D78" s="41" t="s">
        <v>1992</v>
      </c>
      <c r="E78" s="40" t="s">
        <v>1419</v>
      </c>
      <c r="F78" s="40" t="s">
        <v>819</v>
      </c>
      <c r="G78" s="40" t="s">
        <v>898</v>
      </c>
    </row>
    <row r="79" spans="1:7" ht="18" customHeight="1" x14ac:dyDescent="0.3">
      <c r="A79" s="40" t="s">
        <v>1991</v>
      </c>
      <c r="B79" s="40" t="s">
        <v>1422</v>
      </c>
      <c r="C79" s="42" t="s">
        <v>1584</v>
      </c>
      <c r="D79" s="41" t="s">
        <v>1990</v>
      </c>
      <c r="E79" s="40" t="s">
        <v>1419</v>
      </c>
      <c r="F79" s="40" t="s">
        <v>819</v>
      </c>
      <c r="G79" s="40" t="s">
        <v>61</v>
      </c>
    </row>
    <row r="80" spans="1:7" ht="18" customHeight="1" x14ac:dyDescent="0.3">
      <c r="A80" s="40" t="s">
        <v>1989</v>
      </c>
      <c r="B80" s="40" t="s">
        <v>1422</v>
      </c>
      <c r="C80" s="42" t="s">
        <v>1988</v>
      </c>
      <c r="D80" s="41" t="s">
        <v>1987</v>
      </c>
      <c r="E80" s="40" t="s">
        <v>1419</v>
      </c>
      <c r="F80" s="40" t="s">
        <v>819</v>
      </c>
      <c r="G80" s="40" t="s">
        <v>1986</v>
      </c>
    </row>
    <row r="81" spans="1:7" ht="18" customHeight="1" x14ac:dyDescent="0.3">
      <c r="A81" s="40" t="s">
        <v>1985</v>
      </c>
      <c r="B81" s="40" t="s">
        <v>1422</v>
      </c>
      <c r="C81" s="42" t="s">
        <v>1984</v>
      </c>
      <c r="D81" s="41" t="s">
        <v>1580</v>
      </c>
      <c r="E81" s="40" t="s">
        <v>1419</v>
      </c>
      <c r="F81" s="40" t="s">
        <v>1787</v>
      </c>
      <c r="G81" s="40" t="s">
        <v>870</v>
      </c>
    </row>
    <row r="82" spans="1:7" ht="18" customHeight="1" x14ac:dyDescent="0.3">
      <c r="A82" s="40" t="s">
        <v>1983</v>
      </c>
      <c r="B82" s="40" t="s">
        <v>1422</v>
      </c>
      <c r="C82" s="42" t="s">
        <v>1498</v>
      </c>
      <c r="D82" s="41" t="s">
        <v>1982</v>
      </c>
      <c r="E82" s="40" t="s">
        <v>1419</v>
      </c>
      <c r="F82" s="40" t="s">
        <v>819</v>
      </c>
      <c r="G82" s="40" t="s">
        <v>898</v>
      </c>
    </row>
    <row r="83" spans="1:7" ht="18" customHeight="1" x14ac:dyDescent="0.3">
      <c r="A83" s="40" t="s">
        <v>1981</v>
      </c>
      <c r="B83" s="40" t="s">
        <v>1422</v>
      </c>
      <c r="C83" s="42" t="s">
        <v>1481</v>
      </c>
      <c r="D83" s="41" t="s">
        <v>1980</v>
      </c>
      <c r="E83" s="40" t="s">
        <v>1419</v>
      </c>
      <c r="F83" s="40" t="s">
        <v>819</v>
      </c>
      <c r="G83" s="40" t="s">
        <v>135</v>
      </c>
    </row>
    <row r="84" spans="1:7" ht="18" customHeight="1" x14ac:dyDescent="0.3">
      <c r="A84" s="40" t="s">
        <v>1978</v>
      </c>
      <c r="B84" s="40" t="s">
        <v>1422</v>
      </c>
      <c r="C84" s="42" t="s">
        <v>1498</v>
      </c>
      <c r="D84" s="41" t="s">
        <v>1979</v>
      </c>
      <c r="E84" s="40" t="s">
        <v>1419</v>
      </c>
      <c r="F84" s="40" t="s">
        <v>819</v>
      </c>
      <c r="G84" s="40" t="s">
        <v>898</v>
      </c>
    </row>
    <row r="85" spans="1:7" ht="18" customHeight="1" x14ac:dyDescent="0.3">
      <c r="A85" s="40" t="s">
        <v>1978</v>
      </c>
      <c r="B85" s="40" t="s">
        <v>1422</v>
      </c>
      <c r="C85" s="42" t="s">
        <v>1584</v>
      </c>
      <c r="D85" s="41" t="s">
        <v>1977</v>
      </c>
      <c r="E85" s="40" t="s">
        <v>1419</v>
      </c>
      <c r="F85" s="40" t="s">
        <v>819</v>
      </c>
      <c r="G85" s="40" t="s">
        <v>61</v>
      </c>
    </row>
    <row r="86" spans="1:7" ht="18" customHeight="1" x14ac:dyDescent="0.3">
      <c r="A86" s="40" t="s">
        <v>1976</v>
      </c>
      <c r="B86" s="40" t="s">
        <v>1422</v>
      </c>
      <c r="C86" s="42" t="s">
        <v>1498</v>
      </c>
      <c r="D86" s="41" t="s">
        <v>1975</v>
      </c>
      <c r="E86" s="40" t="s">
        <v>1419</v>
      </c>
      <c r="F86" s="40" t="s">
        <v>819</v>
      </c>
      <c r="G86" s="40" t="s">
        <v>898</v>
      </c>
    </row>
    <row r="87" spans="1:7" ht="18" customHeight="1" x14ac:dyDescent="0.3">
      <c r="A87" s="40" t="s">
        <v>1972</v>
      </c>
      <c r="B87" s="40" t="s">
        <v>1413</v>
      </c>
      <c r="C87" s="42" t="s">
        <v>1974</v>
      </c>
      <c r="D87" s="41" t="s">
        <v>1973</v>
      </c>
      <c r="E87" s="40" t="s">
        <v>1411</v>
      </c>
      <c r="F87" s="40" t="s">
        <v>819</v>
      </c>
      <c r="G87" s="40" t="s">
        <v>856</v>
      </c>
    </row>
    <row r="88" spans="1:7" ht="18" customHeight="1" x14ac:dyDescent="0.3">
      <c r="A88" s="40" t="s">
        <v>1972</v>
      </c>
      <c r="B88" s="40" t="s">
        <v>1422</v>
      </c>
      <c r="C88" s="42" t="s">
        <v>80</v>
      </c>
      <c r="D88" s="41" t="s">
        <v>1971</v>
      </c>
      <c r="E88" s="40" t="s">
        <v>1419</v>
      </c>
      <c r="F88" s="40" t="s">
        <v>819</v>
      </c>
      <c r="G88" s="40" t="s">
        <v>81</v>
      </c>
    </row>
    <row r="89" spans="1:7" ht="18" customHeight="1" x14ac:dyDescent="0.3">
      <c r="A89" s="40" t="s">
        <v>1969</v>
      </c>
      <c r="B89" s="40" t="s">
        <v>1422</v>
      </c>
      <c r="C89" s="42" t="s">
        <v>1058</v>
      </c>
      <c r="D89" s="41" t="s">
        <v>1970</v>
      </c>
      <c r="E89" s="40" t="s">
        <v>1419</v>
      </c>
      <c r="F89" s="40" t="s">
        <v>819</v>
      </c>
      <c r="G89" s="40" t="s">
        <v>1057</v>
      </c>
    </row>
    <row r="90" spans="1:7" ht="18" customHeight="1" x14ac:dyDescent="0.3">
      <c r="A90" s="40" t="s">
        <v>1969</v>
      </c>
      <c r="B90" s="40" t="s">
        <v>1422</v>
      </c>
      <c r="C90" s="42" t="s">
        <v>842</v>
      </c>
      <c r="D90" s="41" t="s">
        <v>1968</v>
      </c>
      <c r="E90" s="40" t="s">
        <v>1419</v>
      </c>
      <c r="F90" s="40" t="s">
        <v>819</v>
      </c>
      <c r="G90" s="40" t="s">
        <v>841</v>
      </c>
    </row>
    <row r="91" spans="1:7" ht="18" customHeight="1" x14ac:dyDescent="0.3">
      <c r="A91" s="40" t="s">
        <v>1966</v>
      </c>
      <c r="B91" s="40" t="s">
        <v>1422</v>
      </c>
      <c r="C91" s="42" t="s">
        <v>1584</v>
      </c>
      <c r="D91" s="41" t="s">
        <v>1967</v>
      </c>
      <c r="E91" s="40" t="s">
        <v>1419</v>
      </c>
      <c r="F91" s="40" t="s">
        <v>819</v>
      </c>
      <c r="G91" s="40" t="s">
        <v>61</v>
      </c>
    </row>
    <row r="92" spans="1:7" ht="18" customHeight="1" x14ac:dyDescent="0.3">
      <c r="A92" s="40" t="s">
        <v>1966</v>
      </c>
      <c r="B92" s="40" t="s">
        <v>1422</v>
      </c>
      <c r="C92" s="42" t="s">
        <v>65</v>
      </c>
      <c r="D92" s="41" t="s">
        <v>1965</v>
      </c>
      <c r="E92" s="40" t="s">
        <v>1419</v>
      </c>
      <c r="F92" s="40" t="s">
        <v>819</v>
      </c>
      <c r="G92" s="40" t="s">
        <v>66</v>
      </c>
    </row>
    <row r="93" spans="1:7" ht="18" customHeight="1" x14ac:dyDescent="0.3">
      <c r="A93" s="40" t="s">
        <v>1964</v>
      </c>
      <c r="B93" s="40" t="s">
        <v>1422</v>
      </c>
      <c r="C93" s="42" t="s">
        <v>1498</v>
      </c>
      <c r="D93" s="41" t="s">
        <v>1963</v>
      </c>
      <c r="E93" s="40" t="s">
        <v>1419</v>
      </c>
      <c r="F93" s="40" t="s">
        <v>819</v>
      </c>
      <c r="G93" s="40" t="s">
        <v>898</v>
      </c>
    </row>
    <row r="94" spans="1:7" ht="18" customHeight="1" x14ac:dyDescent="0.3">
      <c r="A94" s="40" t="s">
        <v>1962</v>
      </c>
      <c r="B94" s="40" t="s">
        <v>1422</v>
      </c>
      <c r="C94" s="42" t="s">
        <v>1481</v>
      </c>
      <c r="D94" s="41" t="s">
        <v>1961</v>
      </c>
      <c r="E94" s="40" t="s">
        <v>1419</v>
      </c>
      <c r="F94" s="40" t="s">
        <v>819</v>
      </c>
      <c r="G94" s="40" t="s">
        <v>135</v>
      </c>
    </row>
    <row r="95" spans="1:7" ht="18" customHeight="1" x14ac:dyDescent="0.3">
      <c r="A95" s="40" t="s">
        <v>1959</v>
      </c>
      <c r="B95" s="40" t="s">
        <v>1413</v>
      </c>
      <c r="C95" s="42" t="s">
        <v>886</v>
      </c>
      <c r="D95" s="41" t="s">
        <v>1960</v>
      </c>
      <c r="E95" s="40" t="s">
        <v>1411</v>
      </c>
      <c r="F95" s="40" t="s">
        <v>819</v>
      </c>
      <c r="G95" s="40" t="s">
        <v>1665</v>
      </c>
    </row>
    <row r="96" spans="1:7" ht="18" customHeight="1" x14ac:dyDescent="0.3">
      <c r="A96" s="40" t="s">
        <v>1959</v>
      </c>
      <c r="B96" s="40" t="s">
        <v>1422</v>
      </c>
      <c r="C96" s="42" t="s">
        <v>1941</v>
      </c>
      <c r="D96" s="41" t="s">
        <v>1958</v>
      </c>
      <c r="E96" s="40" t="s">
        <v>1419</v>
      </c>
      <c r="F96" s="40" t="s">
        <v>819</v>
      </c>
      <c r="G96" s="40" t="s">
        <v>220</v>
      </c>
    </row>
    <row r="97" spans="1:7" ht="18" customHeight="1" x14ac:dyDescent="0.3">
      <c r="A97" s="40" t="s">
        <v>1957</v>
      </c>
      <c r="B97" s="40" t="s">
        <v>1422</v>
      </c>
      <c r="C97" s="42" t="s">
        <v>1058</v>
      </c>
      <c r="D97" s="41" t="s">
        <v>1878</v>
      </c>
      <c r="E97" s="40" t="s">
        <v>1419</v>
      </c>
      <c r="F97" s="40" t="s">
        <v>819</v>
      </c>
      <c r="G97" s="40" t="s">
        <v>1057</v>
      </c>
    </row>
    <row r="98" spans="1:7" ht="18" customHeight="1" x14ac:dyDescent="0.3">
      <c r="A98" s="40" t="s">
        <v>1957</v>
      </c>
      <c r="B98" s="40" t="s">
        <v>1422</v>
      </c>
      <c r="C98" s="42" t="s">
        <v>842</v>
      </c>
      <c r="D98" s="41" t="s">
        <v>1956</v>
      </c>
      <c r="E98" s="40" t="s">
        <v>1419</v>
      </c>
      <c r="F98" s="40" t="s">
        <v>819</v>
      </c>
      <c r="G98" s="40" t="s">
        <v>841</v>
      </c>
    </row>
    <row r="99" spans="1:7" ht="18" customHeight="1" x14ac:dyDescent="0.3">
      <c r="A99" s="40" t="s">
        <v>1955</v>
      </c>
      <c r="B99" s="40" t="s">
        <v>1422</v>
      </c>
      <c r="C99" s="42" t="s">
        <v>1596</v>
      </c>
      <c r="D99" s="41" t="s">
        <v>1443</v>
      </c>
      <c r="E99" s="40" t="s">
        <v>1419</v>
      </c>
      <c r="F99" s="40" t="s">
        <v>819</v>
      </c>
      <c r="G99" s="40" t="s">
        <v>1594</v>
      </c>
    </row>
    <row r="100" spans="1:7" ht="18" customHeight="1" x14ac:dyDescent="0.3">
      <c r="A100" s="40" t="s">
        <v>1954</v>
      </c>
      <c r="B100" s="40" t="s">
        <v>1422</v>
      </c>
      <c r="C100" s="42" t="s">
        <v>1596</v>
      </c>
      <c r="D100" s="41" t="s">
        <v>1559</v>
      </c>
      <c r="E100" s="40" t="s">
        <v>1419</v>
      </c>
      <c r="F100" s="40" t="s">
        <v>819</v>
      </c>
      <c r="G100" s="40" t="s">
        <v>1594</v>
      </c>
    </row>
    <row r="101" spans="1:7" ht="18" customHeight="1" x14ac:dyDescent="0.3">
      <c r="A101" s="40" t="s">
        <v>1953</v>
      </c>
      <c r="B101" s="40" t="s">
        <v>1422</v>
      </c>
      <c r="C101" s="42" t="s">
        <v>1498</v>
      </c>
      <c r="D101" s="41" t="s">
        <v>1952</v>
      </c>
      <c r="E101" s="40" t="s">
        <v>1419</v>
      </c>
      <c r="F101" s="40" t="s">
        <v>819</v>
      </c>
      <c r="G101" s="40" t="s">
        <v>898</v>
      </c>
    </row>
    <row r="102" spans="1:7" ht="18" customHeight="1" x14ac:dyDescent="0.3">
      <c r="A102" s="40" t="s">
        <v>1950</v>
      </c>
      <c r="B102" s="40" t="s">
        <v>1422</v>
      </c>
      <c r="C102" s="42" t="s">
        <v>1058</v>
      </c>
      <c r="D102" s="41" t="s">
        <v>1951</v>
      </c>
      <c r="E102" s="40" t="s">
        <v>1419</v>
      </c>
      <c r="F102" s="40" t="s">
        <v>819</v>
      </c>
      <c r="G102" s="40" t="s">
        <v>1057</v>
      </c>
    </row>
    <row r="103" spans="1:7" ht="18" customHeight="1" x14ac:dyDescent="0.3">
      <c r="A103" s="40" t="s">
        <v>1950</v>
      </c>
      <c r="B103" s="40" t="s">
        <v>1422</v>
      </c>
      <c r="C103" s="42" t="s">
        <v>842</v>
      </c>
      <c r="D103" s="41" t="s">
        <v>1949</v>
      </c>
      <c r="E103" s="40" t="s">
        <v>1419</v>
      </c>
      <c r="F103" s="40" t="s">
        <v>819</v>
      </c>
      <c r="G103" s="40" t="s">
        <v>841</v>
      </c>
    </row>
    <row r="104" spans="1:7" ht="18" customHeight="1" x14ac:dyDescent="0.3">
      <c r="A104" s="40" t="s">
        <v>1948</v>
      </c>
      <c r="B104" s="40" t="s">
        <v>1422</v>
      </c>
      <c r="C104" s="42" t="s">
        <v>1421</v>
      </c>
      <c r="D104" s="41" t="s">
        <v>1947</v>
      </c>
      <c r="E104" s="40" t="s">
        <v>1419</v>
      </c>
      <c r="F104" s="40" t="s">
        <v>1418</v>
      </c>
      <c r="G104" s="40" t="s">
        <v>1417</v>
      </c>
    </row>
    <row r="105" spans="1:7" ht="18" customHeight="1" x14ac:dyDescent="0.3">
      <c r="A105" s="40" t="s">
        <v>1946</v>
      </c>
      <c r="B105" s="40" t="s">
        <v>1422</v>
      </c>
      <c r="C105" s="42" t="s">
        <v>1584</v>
      </c>
      <c r="D105" s="41" t="s">
        <v>1945</v>
      </c>
      <c r="E105" s="40" t="s">
        <v>1419</v>
      </c>
      <c r="F105" s="40" t="s">
        <v>819</v>
      </c>
      <c r="G105" s="40" t="s">
        <v>61</v>
      </c>
    </row>
    <row r="106" spans="1:7" ht="18" customHeight="1" x14ac:dyDescent="0.3">
      <c r="A106" s="40" t="s">
        <v>1944</v>
      </c>
      <c r="B106" s="40" t="s">
        <v>1422</v>
      </c>
      <c r="C106" s="42" t="s">
        <v>1495</v>
      </c>
      <c r="D106" s="41" t="s">
        <v>1943</v>
      </c>
      <c r="E106" s="40" t="s">
        <v>1419</v>
      </c>
      <c r="F106" s="40" t="s">
        <v>819</v>
      </c>
      <c r="G106" s="40" t="s">
        <v>861</v>
      </c>
    </row>
    <row r="107" spans="1:7" ht="18" customHeight="1" x14ac:dyDescent="0.3">
      <c r="A107" s="40" t="s">
        <v>1942</v>
      </c>
      <c r="B107" s="40" t="s">
        <v>1422</v>
      </c>
      <c r="C107" s="42" t="s">
        <v>1941</v>
      </c>
      <c r="D107" s="41" t="s">
        <v>1940</v>
      </c>
      <c r="E107" s="40" t="s">
        <v>1419</v>
      </c>
      <c r="F107" s="40" t="s">
        <v>819</v>
      </c>
      <c r="G107" s="40" t="s">
        <v>220</v>
      </c>
    </row>
    <row r="108" spans="1:7" ht="18" customHeight="1" x14ac:dyDescent="0.3">
      <c r="A108" s="40" t="s">
        <v>1939</v>
      </c>
      <c r="B108" s="40" t="s">
        <v>1422</v>
      </c>
      <c r="C108" s="42" t="s">
        <v>1584</v>
      </c>
      <c r="D108" s="41" t="s">
        <v>1938</v>
      </c>
      <c r="E108" s="40" t="s">
        <v>1419</v>
      </c>
      <c r="F108" s="40" t="s">
        <v>819</v>
      </c>
      <c r="G108" s="40" t="s">
        <v>61</v>
      </c>
    </row>
    <row r="109" spans="1:7" ht="18" customHeight="1" x14ac:dyDescent="0.3">
      <c r="A109" s="40" t="s">
        <v>1936</v>
      </c>
      <c r="B109" s="40" t="s">
        <v>1413</v>
      </c>
      <c r="C109" s="42" t="s">
        <v>1678</v>
      </c>
      <c r="D109" s="41" t="s">
        <v>1937</v>
      </c>
      <c r="E109" s="40" t="s">
        <v>1411</v>
      </c>
      <c r="F109" s="40" t="s">
        <v>819</v>
      </c>
      <c r="G109" s="40" t="s">
        <v>898</v>
      </c>
    </row>
    <row r="110" spans="1:7" ht="18" customHeight="1" x14ac:dyDescent="0.3">
      <c r="A110" s="40" t="s">
        <v>1936</v>
      </c>
      <c r="B110" s="40" t="s">
        <v>1422</v>
      </c>
      <c r="C110" s="42" t="s">
        <v>80</v>
      </c>
      <c r="D110" s="41" t="s">
        <v>1935</v>
      </c>
      <c r="E110" s="40" t="s">
        <v>1419</v>
      </c>
      <c r="F110" s="40" t="s">
        <v>819</v>
      </c>
      <c r="G110" s="40" t="s">
        <v>81</v>
      </c>
    </row>
    <row r="111" spans="1:7" ht="18" customHeight="1" x14ac:dyDescent="0.3">
      <c r="A111" s="40" t="s">
        <v>1934</v>
      </c>
      <c r="B111" s="40" t="s">
        <v>1413</v>
      </c>
      <c r="C111" s="42" t="s">
        <v>1893</v>
      </c>
      <c r="D111" s="41" t="s">
        <v>1933</v>
      </c>
      <c r="E111" s="40" t="s">
        <v>1411</v>
      </c>
      <c r="F111" s="40" t="s">
        <v>819</v>
      </c>
      <c r="G111" s="40" t="s">
        <v>856</v>
      </c>
    </row>
    <row r="112" spans="1:7" ht="18" customHeight="1" x14ac:dyDescent="0.3">
      <c r="A112" s="40" t="s">
        <v>1932</v>
      </c>
      <c r="B112" s="40" t="s">
        <v>1422</v>
      </c>
      <c r="C112" s="42" t="s">
        <v>1931</v>
      </c>
      <c r="D112" s="41" t="s">
        <v>1784</v>
      </c>
      <c r="E112" s="40" t="s">
        <v>1419</v>
      </c>
      <c r="F112" s="40" t="s">
        <v>819</v>
      </c>
      <c r="G112" s="40" t="s">
        <v>1073</v>
      </c>
    </row>
    <row r="113" spans="1:7" ht="18" customHeight="1" x14ac:dyDescent="0.3">
      <c r="A113" s="40" t="s">
        <v>1928</v>
      </c>
      <c r="B113" s="40" t="s">
        <v>1422</v>
      </c>
      <c r="C113" s="42" t="s">
        <v>1481</v>
      </c>
      <c r="D113" s="41" t="s">
        <v>1930</v>
      </c>
      <c r="E113" s="40" t="s">
        <v>1419</v>
      </c>
      <c r="F113" s="40" t="s">
        <v>819</v>
      </c>
      <c r="G113" s="40" t="s">
        <v>135</v>
      </c>
    </row>
    <row r="114" spans="1:7" ht="18" customHeight="1" x14ac:dyDescent="0.3">
      <c r="A114" s="40" t="s">
        <v>1928</v>
      </c>
      <c r="B114" s="40" t="s">
        <v>1422</v>
      </c>
      <c r="C114" s="42" t="s">
        <v>1584</v>
      </c>
      <c r="D114" s="41" t="s">
        <v>1929</v>
      </c>
      <c r="E114" s="40" t="s">
        <v>1419</v>
      </c>
      <c r="F114" s="40" t="s">
        <v>819</v>
      </c>
      <c r="G114" s="40" t="s">
        <v>61</v>
      </c>
    </row>
    <row r="115" spans="1:7" ht="18" customHeight="1" x14ac:dyDescent="0.3">
      <c r="A115" s="40" t="s">
        <v>1928</v>
      </c>
      <c r="B115" s="40" t="s">
        <v>1422</v>
      </c>
      <c r="C115" s="42" t="s">
        <v>1596</v>
      </c>
      <c r="D115" s="41" t="s">
        <v>1784</v>
      </c>
      <c r="E115" s="40" t="s">
        <v>1419</v>
      </c>
      <c r="F115" s="40" t="s">
        <v>819</v>
      </c>
      <c r="G115" s="40" t="s">
        <v>1594</v>
      </c>
    </row>
    <row r="116" spans="1:7" ht="18" customHeight="1" x14ac:dyDescent="0.3">
      <c r="A116" s="40" t="s">
        <v>1926</v>
      </c>
      <c r="B116" s="40" t="s">
        <v>1413</v>
      </c>
      <c r="C116" s="42" t="s">
        <v>886</v>
      </c>
      <c r="D116" s="41" t="s">
        <v>1927</v>
      </c>
      <c r="E116" s="40" t="s">
        <v>1411</v>
      </c>
      <c r="F116" s="40" t="s">
        <v>819</v>
      </c>
      <c r="G116" s="40" t="s">
        <v>1665</v>
      </c>
    </row>
    <row r="117" spans="1:7" ht="18" customHeight="1" x14ac:dyDescent="0.3">
      <c r="A117" s="40" t="s">
        <v>1926</v>
      </c>
      <c r="B117" s="40" t="s">
        <v>1422</v>
      </c>
      <c r="C117" s="42" t="s">
        <v>1481</v>
      </c>
      <c r="D117" s="41" t="s">
        <v>1925</v>
      </c>
      <c r="E117" s="40" t="s">
        <v>1419</v>
      </c>
      <c r="F117" s="40" t="s">
        <v>819</v>
      </c>
      <c r="G117" s="40" t="s">
        <v>135</v>
      </c>
    </row>
    <row r="118" spans="1:7" ht="18" customHeight="1" x14ac:dyDescent="0.3">
      <c r="A118" s="40" t="s">
        <v>1924</v>
      </c>
      <c r="B118" s="40" t="s">
        <v>1422</v>
      </c>
      <c r="C118" s="42" t="s">
        <v>1481</v>
      </c>
      <c r="D118" s="41" t="s">
        <v>1923</v>
      </c>
      <c r="E118" s="40" t="s">
        <v>1419</v>
      </c>
      <c r="F118" s="40" t="s">
        <v>819</v>
      </c>
      <c r="G118" s="40" t="s">
        <v>135</v>
      </c>
    </row>
    <row r="119" spans="1:7" ht="18" customHeight="1" x14ac:dyDescent="0.3">
      <c r="A119" s="40" t="s">
        <v>1920</v>
      </c>
      <c r="B119" s="40" t="s">
        <v>1422</v>
      </c>
      <c r="C119" s="42" t="s">
        <v>1481</v>
      </c>
      <c r="D119" s="41" t="s">
        <v>1922</v>
      </c>
      <c r="E119" s="40" t="s">
        <v>1419</v>
      </c>
      <c r="F119" s="40" t="s">
        <v>819</v>
      </c>
      <c r="G119" s="40" t="s">
        <v>135</v>
      </c>
    </row>
    <row r="120" spans="1:7" ht="18" customHeight="1" x14ac:dyDescent="0.3">
      <c r="A120" s="40" t="s">
        <v>1920</v>
      </c>
      <c r="B120" s="40" t="s">
        <v>1422</v>
      </c>
      <c r="C120" s="42" t="s">
        <v>1584</v>
      </c>
      <c r="D120" s="41" t="s">
        <v>1921</v>
      </c>
      <c r="E120" s="40" t="s">
        <v>1419</v>
      </c>
      <c r="F120" s="40" t="s">
        <v>819</v>
      </c>
      <c r="G120" s="40" t="s">
        <v>61</v>
      </c>
    </row>
    <row r="121" spans="1:7" ht="18" customHeight="1" x14ac:dyDescent="0.3">
      <c r="A121" s="40" t="s">
        <v>1920</v>
      </c>
      <c r="B121" s="40" t="s">
        <v>1422</v>
      </c>
      <c r="C121" s="42" t="s">
        <v>65</v>
      </c>
      <c r="D121" s="41" t="s">
        <v>1496</v>
      </c>
      <c r="E121" s="40" t="s">
        <v>1419</v>
      </c>
      <c r="F121" s="40" t="s">
        <v>819</v>
      </c>
      <c r="G121" s="40" t="s">
        <v>66</v>
      </c>
    </row>
    <row r="122" spans="1:7" ht="18" customHeight="1" x14ac:dyDescent="0.3">
      <c r="A122" s="40" t="s">
        <v>1919</v>
      </c>
      <c r="B122" s="40" t="s">
        <v>1422</v>
      </c>
      <c r="C122" s="42" t="s">
        <v>1498</v>
      </c>
      <c r="D122" s="41" t="s">
        <v>1918</v>
      </c>
      <c r="E122" s="40" t="s">
        <v>1419</v>
      </c>
      <c r="F122" s="40" t="s">
        <v>819</v>
      </c>
      <c r="G122" s="40" t="s">
        <v>898</v>
      </c>
    </row>
    <row r="123" spans="1:7" ht="18" customHeight="1" x14ac:dyDescent="0.3">
      <c r="A123" s="40" t="s">
        <v>1916</v>
      </c>
      <c r="B123" s="40" t="s">
        <v>1422</v>
      </c>
      <c r="C123" s="42" t="s">
        <v>1500</v>
      </c>
      <c r="D123" s="41" t="s">
        <v>1917</v>
      </c>
      <c r="E123" s="40" t="s">
        <v>1419</v>
      </c>
      <c r="F123" s="40" t="s">
        <v>1418</v>
      </c>
      <c r="G123" s="40" t="s">
        <v>115</v>
      </c>
    </row>
    <row r="124" spans="1:7" ht="18" customHeight="1" x14ac:dyDescent="0.3">
      <c r="A124" s="40" t="s">
        <v>1916</v>
      </c>
      <c r="B124" s="40" t="s">
        <v>1422</v>
      </c>
      <c r="C124" s="42" t="s">
        <v>1516</v>
      </c>
      <c r="D124" s="41" t="s">
        <v>1515</v>
      </c>
      <c r="E124" s="40" t="s">
        <v>1419</v>
      </c>
      <c r="F124" s="40" t="s">
        <v>1418</v>
      </c>
      <c r="G124" s="40" t="s">
        <v>115</v>
      </c>
    </row>
    <row r="125" spans="1:7" ht="18" customHeight="1" x14ac:dyDescent="0.3">
      <c r="A125" s="40" t="s">
        <v>1915</v>
      </c>
      <c r="B125" s="40" t="s">
        <v>1422</v>
      </c>
      <c r="C125" s="42" t="s">
        <v>1485</v>
      </c>
      <c r="D125" s="41" t="s">
        <v>1914</v>
      </c>
      <c r="E125" s="40" t="s">
        <v>1419</v>
      </c>
      <c r="F125" s="40" t="s">
        <v>819</v>
      </c>
      <c r="G125" s="40" t="s">
        <v>135</v>
      </c>
    </row>
    <row r="126" spans="1:7" ht="18" customHeight="1" x14ac:dyDescent="0.3">
      <c r="A126" s="40" t="s">
        <v>1913</v>
      </c>
      <c r="B126" s="40" t="s">
        <v>1422</v>
      </c>
      <c r="C126" s="42" t="s">
        <v>1481</v>
      </c>
      <c r="D126" s="41" t="s">
        <v>1912</v>
      </c>
      <c r="E126" s="40" t="s">
        <v>1419</v>
      </c>
      <c r="F126" s="40" t="s">
        <v>819</v>
      </c>
      <c r="G126" s="40" t="s">
        <v>135</v>
      </c>
    </row>
    <row r="127" spans="1:7" ht="18" customHeight="1" x14ac:dyDescent="0.3">
      <c r="A127" s="40" t="s">
        <v>1911</v>
      </c>
      <c r="B127" s="40" t="s">
        <v>1422</v>
      </c>
      <c r="C127" s="42" t="s">
        <v>1584</v>
      </c>
      <c r="D127" s="41" t="s">
        <v>1910</v>
      </c>
      <c r="E127" s="40" t="s">
        <v>1419</v>
      </c>
      <c r="F127" s="40" t="s">
        <v>819</v>
      </c>
      <c r="G127" s="40" t="s">
        <v>61</v>
      </c>
    </row>
    <row r="128" spans="1:7" ht="18" customHeight="1" x14ac:dyDescent="0.3">
      <c r="A128" s="40" t="s">
        <v>1909</v>
      </c>
      <c r="B128" s="40" t="s">
        <v>1422</v>
      </c>
      <c r="C128" s="42" t="s">
        <v>1584</v>
      </c>
      <c r="D128" s="41" t="s">
        <v>1908</v>
      </c>
      <c r="E128" s="40" t="s">
        <v>1419</v>
      </c>
      <c r="F128" s="40" t="s">
        <v>819</v>
      </c>
      <c r="G128" s="40" t="s">
        <v>61</v>
      </c>
    </row>
    <row r="129" spans="1:7" ht="18" customHeight="1" x14ac:dyDescent="0.3">
      <c r="A129" s="40" t="s">
        <v>1907</v>
      </c>
      <c r="B129" s="40" t="s">
        <v>1422</v>
      </c>
      <c r="C129" s="42" t="s">
        <v>1906</v>
      </c>
      <c r="D129" s="41" t="s">
        <v>1905</v>
      </c>
      <c r="E129" s="40" t="s">
        <v>1419</v>
      </c>
      <c r="F129" s="40" t="s">
        <v>1904</v>
      </c>
      <c r="G129" s="40" t="s">
        <v>1252</v>
      </c>
    </row>
    <row r="130" spans="1:7" ht="18" customHeight="1" x14ac:dyDescent="0.3">
      <c r="A130" s="40" t="s">
        <v>1903</v>
      </c>
      <c r="B130" s="40" t="s">
        <v>1422</v>
      </c>
      <c r="C130" s="42" t="s">
        <v>80</v>
      </c>
      <c r="D130" s="41" t="s">
        <v>1902</v>
      </c>
      <c r="E130" s="40" t="s">
        <v>1419</v>
      </c>
      <c r="F130" s="40" t="s">
        <v>819</v>
      </c>
      <c r="G130" s="40" t="s">
        <v>81</v>
      </c>
    </row>
    <row r="131" spans="1:7" ht="18" customHeight="1" x14ac:dyDescent="0.3">
      <c r="A131" s="40" t="s">
        <v>1897</v>
      </c>
      <c r="B131" s="40" t="s">
        <v>1422</v>
      </c>
      <c r="C131" s="42" t="s">
        <v>1901</v>
      </c>
      <c r="D131" s="41" t="s">
        <v>1900</v>
      </c>
      <c r="E131" s="40" t="s">
        <v>1419</v>
      </c>
      <c r="F131" s="40" t="s">
        <v>819</v>
      </c>
      <c r="G131" s="40" t="s">
        <v>1899</v>
      </c>
    </row>
    <row r="132" spans="1:7" ht="18" customHeight="1" x14ac:dyDescent="0.3">
      <c r="A132" s="40" t="s">
        <v>1897</v>
      </c>
      <c r="B132" s="40" t="s">
        <v>1422</v>
      </c>
      <c r="C132" s="42" t="s">
        <v>1058</v>
      </c>
      <c r="D132" s="41" t="s">
        <v>1898</v>
      </c>
      <c r="E132" s="40" t="s">
        <v>1419</v>
      </c>
      <c r="F132" s="40" t="s">
        <v>819</v>
      </c>
      <c r="G132" s="40" t="s">
        <v>1057</v>
      </c>
    </row>
    <row r="133" spans="1:7" ht="18" customHeight="1" x14ac:dyDescent="0.3">
      <c r="A133" s="40" t="s">
        <v>1897</v>
      </c>
      <c r="B133" s="40" t="s">
        <v>1422</v>
      </c>
      <c r="C133" s="42" t="s">
        <v>842</v>
      </c>
      <c r="D133" s="41" t="s">
        <v>1531</v>
      </c>
      <c r="E133" s="40" t="s">
        <v>1419</v>
      </c>
      <c r="F133" s="40" t="s">
        <v>819</v>
      </c>
      <c r="G133" s="40" t="s">
        <v>841</v>
      </c>
    </row>
    <row r="134" spans="1:7" ht="18" customHeight="1" x14ac:dyDescent="0.3">
      <c r="A134" s="40" t="s">
        <v>1895</v>
      </c>
      <c r="B134" s="40" t="s">
        <v>1422</v>
      </c>
      <c r="C134" s="42" t="s">
        <v>1421</v>
      </c>
      <c r="D134" s="41" t="s">
        <v>1896</v>
      </c>
      <c r="E134" s="40" t="s">
        <v>1419</v>
      </c>
      <c r="F134" s="40" t="s">
        <v>1432</v>
      </c>
      <c r="G134" s="40" t="s">
        <v>1417</v>
      </c>
    </row>
    <row r="135" spans="1:7" ht="18" customHeight="1" x14ac:dyDescent="0.3">
      <c r="A135" s="40" t="s">
        <v>1895</v>
      </c>
      <c r="B135" s="40" t="s">
        <v>1422</v>
      </c>
      <c r="C135" s="42" t="s">
        <v>1421</v>
      </c>
      <c r="D135" s="41" t="s">
        <v>1894</v>
      </c>
      <c r="E135" s="40" t="s">
        <v>1419</v>
      </c>
      <c r="F135" s="40" t="s">
        <v>819</v>
      </c>
      <c r="G135" s="40" t="s">
        <v>1417</v>
      </c>
    </row>
    <row r="136" spans="1:7" ht="18" customHeight="1" x14ac:dyDescent="0.3">
      <c r="A136" s="40" t="s">
        <v>1891</v>
      </c>
      <c r="B136" s="40" t="s">
        <v>1413</v>
      </c>
      <c r="C136" s="42" t="s">
        <v>1893</v>
      </c>
      <c r="D136" s="41" t="s">
        <v>1892</v>
      </c>
      <c r="E136" s="40" t="s">
        <v>1411</v>
      </c>
      <c r="F136" s="40" t="s">
        <v>819</v>
      </c>
      <c r="G136" s="40" t="s">
        <v>856</v>
      </c>
    </row>
    <row r="137" spans="1:7" ht="18" customHeight="1" x14ac:dyDescent="0.3">
      <c r="A137" s="40" t="s">
        <v>1891</v>
      </c>
      <c r="B137" s="40" t="s">
        <v>1413</v>
      </c>
      <c r="C137" s="42" t="s">
        <v>1678</v>
      </c>
      <c r="D137" s="41" t="s">
        <v>1890</v>
      </c>
      <c r="E137" s="40" t="s">
        <v>1411</v>
      </c>
      <c r="F137" s="40" t="s">
        <v>819</v>
      </c>
      <c r="G137" s="40" t="s">
        <v>898</v>
      </c>
    </row>
    <row r="138" spans="1:7" ht="18" customHeight="1" x14ac:dyDescent="0.3">
      <c r="A138" s="40" t="s">
        <v>1889</v>
      </c>
      <c r="B138" s="40" t="s">
        <v>1422</v>
      </c>
      <c r="C138" s="42" t="s">
        <v>1596</v>
      </c>
      <c r="D138" s="41" t="s">
        <v>1768</v>
      </c>
      <c r="E138" s="40" t="s">
        <v>1419</v>
      </c>
      <c r="F138" s="40" t="s">
        <v>819</v>
      </c>
      <c r="G138" s="40" t="s">
        <v>1594</v>
      </c>
    </row>
    <row r="139" spans="1:7" ht="18" customHeight="1" x14ac:dyDescent="0.3">
      <c r="A139" s="40" t="s">
        <v>1888</v>
      </c>
      <c r="B139" s="40" t="s">
        <v>1422</v>
      </c>
      <c r="C139" s="42" t="s">
        <v>1584</v>
      </c>
      <c r="D139" s="41" t="s">
        <v>1887</v>
      </c>
      <c r="E139" s="40" t="s">
        <v>1419</v>
      </c>
      <c r="F139" s="40" t="s">
        <v>819</v>
      </c>
      <c r="G139" s="40" t="s">
        <v>61</v>
      </c>
    </row>
    <row r="140" spans="1:7" ht="18" customHeight="1" x14ac:dyDescent="0.3">
      <c r="A140" s="40" t="s">
        <v>1886</v>
      </c>
      <c r="B140" s="40" t="s">
        <v>1422</v>
      </c>
      <c r="C140" s="42" t="s">
        <v>1596</v>
      </c>
      <c r="D140" s="41" t="s">
        <v>1838</v>
      </c>
      <c r="E140" s="40" t="s">
        <v>1419</v>
      </c>
      <c r="F140" s="40" t="s">
        <v>819</v>
      </c>
      <c r="G140" s="40" t="s">
        <v>1594</v>
      </c>
    </row>
    <row r="141" spans="1:7" ht="18" customHeight="1" x14ac:dyDescent="0.3">
      <c r="A141" s="40" t="s">
        <v>1884</v>
      </c>
      <c r="B141" s="40" t="s">
        <v>1413</v>
      </c>
      <c r="C141" s="42" t="s">
        <v>886</v>
      </c>
      <c r="D141" s="41" t="s">
        <v>1885</v>
      </c>
      <c r="E141" s="40" t="s">
        <v>1411</v>
      </c>
      <c r="F141" s="40" t="s">
        <v>819</v>
      </c>
      <c r="G141" s="40" t="s">
        <v>1665</v>
      </c>
    </row>
    <row r="142" spans="1:7" ht="18" customHeight="1" x14ac:dyDescent="0.3">
      <c r="A142" s="40" t="s">
        <v>1884</v>
      </c>
      <c r="B142" s="40" t="s">
        <v>1422</v>
      </c>
      <c r="C142" s="42" t="s">
        <v>1883</v>
      </c>
      <c r="D142" s="41" t="s">
        <v>1882</v>
      </c>
      <c r="E142" s="40" t="s">
        <v>1419</v>
      </c>
      <c r="F142" s="40" t="s">
        <v>819</v>
      </c>
      <c r="G142" s="40" t="s">
        <v>444</v>
      </c>
    </row>
    <row r="143" spans="1:7" ht="18" customHeight="1" x14ac:dyDescent="0.3">
      <c r="A143" s="40" t="s">
        <v>1881</v>
      </c>
      <c r="B143" s="40" t="s">
        <v>1422</v>
      </c>
      <c r="C143" s="42" t="s">
        <v>1498</v>
      </c>
      <c r="D143" s="41" t="s">
        <v>1880</v>
      </c>
      <c r="E143" s="40" t="s">
        <v>1419</v>
      </c>
      <c r="F143" s="40" t="s">
        <v>819</v>
      </c>
      <c r="G143" s="40" t="s">
        <v>898</v>
      </c>
    </row>
    <row r="144" spans="1:7" ht="18" customHeight="1" x14ac:dyDescent="0.3">
      <c r="A144" s="40" t="s">
        <v>1879</v>
      </c>
      <c r="B144" s="40" t="s">
        <v>1422</v>
      </c>
      <c r="C144" s="42" t="s">
        <v>1876</v>
      </c>
      <c r="D144" s="41" t="s">
        <v>1878</v>
      </c>
      <c r="E144" s="40" t="s">
        <v>1419</v>
      </c>
      <c r="F144" s="40" t="s">
        <v>819</v>
      </c>
      <c r="G144" s="40" t="s">
        <v>1875</v>
      </c>
    </row>
    <row r="145" spans="1:7" ht="18" customHeight="1" x14ac:dyDescent="0.3">
      <c r="A145" s="40" t="s">
        <v>1877</v>
      </c>
      <c r="B145" s="40" t="s">
        <v>1422</v>
      </c>
      <c r="C145" s="42" t="s">
        <v>1876</v>
      </c>
      <c r="D145" s="41" t="s">
        <v>1878</v>
      </c>
      <c r="E145" s="40" t="s">
        <v>1419</v>
      </c>
      <c r="F145" s="40" t="s">
        <v>819</v>
      </c>
      <c r="G145" s="40" t="s">
        <v>1875</v>
      </c>
    </row>
    <row r="146" spans="1:7" ht="18" customHeight="1" x14ac:dyDescent="0.3">
      <c r="A146" s="40" t="s">
        <v>1877</v>
      </c>
      <c r="B146" s="40" t="s">
        <v>1422</v>
      </c>
      <c r="C146" s="42" t="s">
        <v>1180</v>
      </c>
      <c r="D146" s="41" t="s">
        <v>1466</v>
      </c>
      <c r="E146" s="40" t="s">
        <v>1419</v>
      </c>
      <c r="F146" s="40" t="s">
        <v>819</v>
      </c>
      <c r="G146" s="40" t="s">
        <v>1179</v>
      </c>
    </row>
    <row r="147" spans="1:7" ht="18" customHeight="1" x14ac:dyDescent="0.3">
      <c r="A147" s="40" t="s">
        <v>1871</v>
      </c>
      <c r="B147" s="40" t="s">
        <v>1422</v>
      </c>
      <c r="C147" s="42" t="s">
        <v>1876</v>
      </c>
      <c r="D147" s="41" t="s">
        <v>1583</v>
      </c>
      <c r="E147" s="40" t="s">
        <v>1419</v>
      </c>
      <c r="F147" s="40" t="s">
        <v>819</v>
      </c>
      <c r="G147" s="40" t="s">
        <v>1875</v>
      </c>
    </row>
    <row r="148" spans="1:7" ht="18" customHeight="1" x14ac:dyDescent="0.3">
      <c r="A148" s="40" t="s">
        <v>1871</v>
      </c>
      <c r="B148" s="40" t="s">
        <v>1422</v>
      </c>
      <c r="C148" s="42" t="s">
        <v>1874</v>
      </c>
      <c r="D148" s="41" t="s">
        <v>1820</v>
      </c>
      <c r="E148" s="40" t="s">
        <v>1419</v>
      </c>
      <c r="F148" s="40" t="s">
        <v>819</v>
      </c>
      <c r="G148" s="40" t="s">
        <v>1873</v>
      </c>
    </row>
    <row r="149" spans="1:7" ht="18" customHeight="1" x14ac:dyDescent="0.3">
      <c r="A149" s="40" t="s">
        <v>1871</v>
      </c>
      <c r="B149" s="40" t="s">
        <v>1422</v>
      </c>
      <c r="C149" s="42" t="s">
        <v>1180</v>
      </c>
      <c r="D149" s="41" t="s">
        <v>1872</v>
      </c>
      <c r="E149" s="40" t="s">
        <v>1419</v>
      </c>
      <c r="F149" s="40" t="s">
        <v>819</v>
      </c>
      <c r="G149" s="40" t="s">
        <v>1179</v>
      </c>
    </row>
    <row r="150" spans="1:7" ht="18" customHeight="1" x14ac:dyDescent="0.3">
      <c r="A150" s="40" t="s">
        <v>1871</v>
      </c>
      <c r="B150" s="40" t="s">
        <v>1422</v>
      </c>
      <c r="C150" s="42" t="s">
        <v>1180</v>
      </c>
      <c r="D150" s="41" t="s">
        <v>1779</v>
      </c>
      <c r="E150" s="40" t="s">
        <v>1419</v>
      </c>
      <c r="F150" s="40" t="s">
        <v>819</v>
      </c>
      <c r="G150" s="40" t="s">
        <v>1179</v>
      </c>
    </row>
    <row r="151" spans="1:7" ht="18" customHeight="1" x14ac:dyDescent="0.3">
      <c r="A151" s="40" t="s">
        <v>1870</v>
      </c>
      <c r="B151" s="40" t="s">
        <v>1422</v>
      </c>
      <c r="C151" s="42" t="s">
        <v>1842</v>
      </c>
      <c r="D151" s="41" t="s">
        <v>1869</v>
      </c>
      <c r="E151" s="40" t="s">
        <v>1419</v>
      </c>
      <c r="F151" s="40" t="s">
        <v>819</v>
      </c>
      <c r="G151" s="40" t="s">
        <v>1840</v>
      </c>
    </row>
    <row r="152" spans="1:7" ht="18" customHeight="1" x14ac:dyDescent="0.3">
      <c r="A152" s="40" t="s">
        <v>1868</v>
      </c>
      <c r="B152" s="40" t="s">
        <v>1422</v>
      </c>
      <c r="C152" s="42" t="s">
        <v>1867</v>
      </c>
      <c r="D152" s="41" t="s">
        <v>1866</v>
      </c>
      <c r="E152" s="40" t="s">
        <v>1419</v>
      </c>
      <c r="F152" s="40" t="s">
        <v>819</v>
      </c>
      <c r="G152" s="40" t="s">
        <v>1865</v>
      </c>
    </row>
    <row r="153" spans="1:7" ht="18" customHeight="1" x14ac:dyDescent="0.3">
      <c r="A153" s="40" t="s">
        <v>1864</v>
      </c>
      <c r="B153" s="40" t="s">
        <v>1422</v>
      </c>
      <c r="C153" s="42" t="s">
        <v>1584</v>
      </c>
      <c r="D153" s="41" t="s">
        <v>1863</v>
      </c>
      <c r="E153" s="40" t="s">
        <v>1419</v>
      </c>
      <c r="F153" s="40" t="s">
        <v>819</v>
      </c>
      <c r="G153" s="40" t="s">
        <v>61</v>
      </c>
    </row>
    <row r="154" spans="1:7" ht="18" customHeight="1" x14ac:dyDescent="0.3">
      <c r="A154" s="40" t="s">
        <v>1862</v>
      </c>
      <c r="B154" s="40" t="s">
        <v>1422</v>
      </c>
      <c r="C154" s="42" t="s">
        <v>1861</v>
      </c>
      <c r="D154" s="41" t="s">
        <v>1860</v>
      </c>
      <c r="E154" s="40" t="s">
        <v>1419</v>
      </c>
      <c r="F154" s="40" t="s">
        <v>819</v>
      </c>
      <c r="G154" s="40" t="s">
        <v>1859</v>
      </c>
    </row>
    <row r="155" spans="1:7" ht="18" customHeight="1" x14ac:dyDescent="0.3">
      <c r="A155" s="40" t="s">
        <v>1857</v>
      </c>
      <c r="B155" s="40" t="s">
        <v>1422</v>
      </c>
      <c r="C155" s="42" t="s">
        <v>1584</v>
      </c>
      <c r="D155" s="41" t="s">
        <v>1858</v>
      </c>
      <c r="E155" s="40" t="s">
        <v>1419</v>
      </c>
      <c r="F155" s="40" t="s">
        <v>819</v>
      </c>
      <c r="G155" s="40" t="s">
        <v>61</v>
      </c>
    </row>
    <row r="156" spans="1:7" ht="18" customHeight="1" x14ac:dyDescent="0.3">
      <c r="A156" s="40" t="s">
        <v>1857</v>
      </c>
      <c r="B156" s="40" t="s">
        <v>1422</v>
      </c>
      <c r="C156" s="42" t="s">
        <v>1856</v>
      </c>
      <c r="D156" s="41" t="s">
        <v>1855</v>
      </c>
      <c r="E156" s="40" t="s">
        <v>1419</v>
      </c>
      <c r="F156" s="40" t="s">
        <v>1432</v>
      </c>
      <c r="G156" s="40" t="s">
        <v>1287</v>
      </c>
    </row>
    <row r="157" spans="1:7" ht="18" customHeight="1" x14ac:dyDescent="0.3">
      <c r="A157" s="40" t="s">
        <v>1854</v>
      </c>
      <c r="B157" s="40" t="s">
        <v>1422</v>
      </c>
      <c r="C157" s="42" t="s">
        <v>1853</v>
      </c>
      <c r="D157" s="41" t="s">
        <v>1852</v>
      </c>
      <c r="E157" s="40" t="s">
        <v>1419</v>
      </c>
      <c r="F157" s="40" t="s">
        <v>819</v>
      </c>
      <c r="G157" s="40" t="s">
        <v>1851</v>
      </c>
    </row>
    <row r="158" spans="1:7" ht="18" customHeight="1" x14ac:dyDescent="0.3">
      <c r="A158" s="40" t="s">
        <v>1850</v>
      </c>
      <c r="B158" s="40" t="s">
        <v>1422</v>
      </c>
      <c r="C158" s="42" t="s">
        <v>1596</v>
      </c>
      <c r="D158" s="41" t="s">
        <v>1798</v>
      </c>
      <c r="E158" s="40" t="s">
        <v>1419</v>
      </c>
      <c r="F158" s="40" t="s">
        <v>819</v>
      </c>
      <c r="G158" s="40" t="s">
        <v>1594</v>
      </c>
    </row>
    <row r="159" spans="1:7" ht="18" customHeight="1" x14ac:dyDescent="0.3">
      <c r="A159" s="40" t="s">
        <v>1847</v>
      </c>
      <c r="B159" s="40" t="s">
        <v>1422</v>
      </c>
      <c r="C159" s="42" t="s">
        <v>1498</v>
      </c>
      <c r="D159" s="41" t="s">
        <v>1849</v>
      </c>
      <c r="E159" s="40" t="s">
        <v>1419</v>
      </c>
      <c r="F159" s="40" t="s">
        <v>819</v>
      </c>
      <c r="G159" s="40" t="s">
        <v>898</v>
      </c>
    </row>
    <row r="160" spans="1:7" ht="18" customHeight="1" x14ac:dyDescent="0.3">
      <c r="A160" s="40" t="s">
        <v>1847</v>
      </c>
      <c r="B160" s="40" t="s">
        <v>1422</v>
      </c>
      <c r="C160" s="42" t="s">
        <v>608</v>
      </c>
      <c r="D160" s="41" t="s">
        <v>1848</v>
      </c>
      <c r="E160" s="40" t="s">
        <v>1419</v>
      </c>
      <c r="F160" s="40" t="s">
        <v>819</v>
      </c>
      <c r="G160" s="40" t="s">
        <v>148</v>
      </c>
    </row>
    <row r="161" spans="1:7" ht="18" customHeight="1" x14ac:dyDescent="0.3">
      <c r="A161" s="40" t="s">
        <v>1847</v>
      </c>
      <c r="B161" s="40" t="s">
        <v>1422</v>
      </c>
      <c r="C161" s="42" t="s">
        <v>1846</v>
      </c>
      <c r="D161" s="41" t="s">
        <v>1845</v>
      </c>
      <c r="E161" s="40" t="s">
        <v>1419</v>
      </c>
      <c r="F161" s="40" t="s">
        <v>819</v>
      </c>
      <c r="G161" s="40" t="s">
        <v>135</v>
      </c>
    </row>
    <row r="162" spans="1:7" ht="18" customHeight="1" x14ac:dyDescent="0.3">
      <c r="A162" s="40" t="s">
        <v>1844</v>
      </c>
      <c r="B162" s="40" t="s">
        <v>1422</v>
      </c>
      <c r="C162" s="42" t="s">
        <v>90</v>
      </c>
      <c r="D162" s="41" t="s">
        <v>1843</v>
      </c>
      <c r="E162" s="40" t="s">
        <v>1419</v>
      </c>
      <c r="F162" s="40" t="s">
        <v>819</v>
      </c>
      <c r="G162" s="40" t="s">
        <v>91</v>
      </c>
    </row>
    <row r="163" spans="1:7" ht="18" customHeight="1" x14ac:dyDescent="0.3">
      <c r="A163" s="40" t="s">
        <v>1837</v>
      </c>
      <c r="B163" s="40" t="s">
        <v>1422</v>
      </c>
      <c r="C163" s="42" t="s">
        <v>1842</v>
      </c>
      <c r="D163" s="41" t="s">
        <v>1841</v>
      </c>
      <c r="E163" s="40" t="s">
        <v>1419</v>
      </c>
      <c r="F163" s="40" t="s">
        <v>819</v>
      </c>
      <c r="G163" s="40" t="s">
        <v>1840</v>
      </c>
    </row>
    <row r="164" spans="1:7" ht="18" customHeight="1" x14ac:dyDescent="0.3">
      <c r="A164" s="40" t="s">
        <v>1837</v>
      </c>
      <c r="B164" s="40" t="s">
        <v>1422</v>
      </c>
      <c r="C164" s="42" t="s">
        <v>660</v>
      </c>
      <c r="D164" s="41" t="s">
        <v>1839</v>
      </c>
      <c r="E164" s="40" t="s">
        <v>1419</v>
      </c>
      <c r="F164" s="40" t="s">
        <v>819</v>
      </c>
      <c r="G164" s="40" t="s">
        <v>837</v>
      </c>
    </row>
    <row r="165" spans="1:7" ht="18" customHeight="1" x14ac:dyDescent="0.3">
      <c r="A165" s="40" t="s">
        <v>1837</v>
      </c>
      <c r="B165" s="40" t="s">
        <v>1422</v>
      </c>
      <c r="C165" s="42" t="s">
        <v>1596</v>
      </c>
      <c r="D165" s="41" t="s">
        <v>1838</v>
      </c>
      <c r="E165" s="40" t="s">
        <v>1419</v>
      </c>
      <c r="F165" s="40" t="s">
        <v>819</v>
      </c>
      <c r="G165" s="40" t="s">
        <v>1594</v>
      </c>
    </row>
    <row r="166" spans="1:7" ht="18" customHeight="1" x14ac:dyDescent="0.3">
      <c r="A166" s="40" t="s">
        <v>1837</v>
      </c>
      <c r="B166" s="40" t="s">
        <v>1422</v>
      </c>
      <c r="C166" s="42" t="s">
        <v>852</v>
      </c>
      <c r="D166" s="41" t="s">
        <v>1836</v>
      </c>
      <c r="E166" s="40" t="s">
        <v>1419</v>
      </c>
      <c r="F166" s="40" t="s">
        <v>819</v>
      </c>
      <c r="G166" s="40" t="s">
        <v>851</v>
      </c>
    </row>
    <row r="167" spans="1:7" ht="18" customHeight="1" x14ac:dyDescent="0.3">
      <c r="A167" s="40" t="s">
        <v>1835</v>
      </c>
      <c r="B167" s="40" t="s">
        <v>1422</v>
      </c>
      <c r="C167" s="42" t="s">
        <v>1495</v>
      </c>
      <c r="D167" s="41" t="s">
        <v>1834</v>
      </c>
      <c r="E167" s="40" t="s">
        <v>1419</v>
      </c>
      <c r="F167" s="40" t="s">
        <v>819</v>
      </c>
      <c r="G167" s="40" t="s">
        <v>861</v>
      </c>
    </row>
    <row r="168" spans="1:7" ht="18" customHeight="1" x14ac:dyDescent="0.3">
      <c r="A168" s="40" t="s">
        <v>1833</v>
      </c>
      <c r="B168" s="40" t="s">
        <v>1422</v>
      </c>
      <c r="C168" s="42" t="s">
        <v>1596</v>
      </c>
      <c r="D168" s="41" t="s">
        <v>1798</v>
      </c>
      <c r="E168" s="40" t="s">
        <v>1419</v>
      </c>
      <c r="F168" s="40" t="s">
        <v>819</v>
      </c>
      <c r="G168" s="40" t="s">
        <v>1594</v>
      </c>
    </row>
    <row r="169" spans="1:7" ht="18" customHeight="1" x14ac:dyDescent="0.3">
      <c r="A169" s="40" t="s">
        <v>1833</v>
      </c>
      <c r="B169" s="40" t="s">
        <v>1422</v>
      </c>
      <c r="C169" s="42" t="s">
        <v>1596</v>
      </c>
      <c r="D169" s="41" t="s">
        <v>1768</v>
      </c>
      <c r="E169" s="40" t="s">
        <v>1419</v>
      </c>
      <c r="F169" s="40" t="s">
        <v>819</v>
      </c>
      <c r="G169" s="40" t="s">
        <v>1594</v>
      </c>
    </row>
    <row r="170" spans="1:7" ht="18" customHeight="1" x14ac:dyDescent="0.3">
      <c r="A170" s="40" t="s">
        <v>1833</v>
      </c>
      <c r="B170" s="40" t="s">
        <v>1422</v>
      </c>
      <c r="C170" s="42" t="s">
        <v>1656</v>
      </c>
      <c r="D170" s="41" t="s">
        <v>1832</v>
      </c>
      <c r="E170" s="40" t="s">
        <v>1419</v>
      </c>
      <c r="F170" s="40" t="s">
        <v>819</v>
      </c>
      <c r="G170" s="40" t="s">
        <v>1654</v>
      </c>
    </row>
    <row r="171" spans="1:7" ht="18" customHeight="1" x14ac:dyDescent="0.3">
      <c r="A171" s="40" t="s">
        <v>1831</v>
      </c>
      <c r="B171" s="40" t="s">
        <v>1413</v>
      </c>
      <c r="C171" s="42" t="s">
        <v>1678</v>
      </c>
      <c r="D171" s="41" t="s">
        <v>1830</v>
      </c>
      <c r="E171" s="40" t="s">
        <v>1411</v>
      </c>
      <c r="F171" s="40" t="s">
        <v>819</v>
      </c>
      <c r="G171" s="40" t="s">
        <v>898</v>
      </c>
    </row>
    <row r="172" spans="1:7" ht="18" customHeight="1" x14ac:dyDescent="0.3">
      <c r="A172" s="40" t="s">
        <v>1829</v>
      </c>
      <c r="B172" s="40" t="s">
        <v>1413</v>
      </c>
      <c r="C172" s="42" t="s">
        <v>1828</v>
      </c>
      <c r="D172" s="41" t="s">
        <v>1827</v>
      </c>
      <c r="E172" s="40" t="s">
        <v>1411</v>
      </c>
      <c r="F172" s="40" t="s">
        <v>819</v>
      </c>
      <c r="G172" s="40" t="s">
        <v>856</v>
      </c>
    </row>
    <row r="173" spans="1:7" ht="18" customHeight="1" x14ac:dyDescent="0.3">
      <c r="A173" s="40" t="s">
        <v>1826</v>
      </c>
      <c r="B173" s="40" t="s">
        <v>1422</v>
      </c>
      <c r="C173" s="42" t="s">
        <v>1825</v>
      </c>
      <c r="D173" s="41" t="s">
        <v>1824</v>
      </c>
      <c r="E173" s="40" t="s">
        <v>1419</v>
      </c>
      <c r="F173" s="40" t="s">
        <v>819</v>
      </c>
      <c r="G173" s="40" t="s">
        <v>200</v>
      </c>
    </row>
    <row r="174" spans="1:7" ht="18" customHeight="1" x14ac:dyDescent="0.3">
      <c r="A174" s="40" t="s">
        <v>1823</v>
      </c>
      <c r="B174" s="40" t="s">
        <v>1413</v>
      </c>
      <c r="C174" s="42" t="s">
        <v>886</v>
      </c>
      <c r="D174" s="41" t="s">
        <v>1822</v>
      </c>
      <c r="E174" s="40" t="s">
        <v>1411</v>
      </c>
      <c r="F174" s="40" t="s">
        <v>819</v>
      </c>
      <c r="G174" s="40" t="s">
        <v>1665</v>
      </c>
    </row>
    <row r="175" spans="1:7" ht="18" customHeight="1" x14ac:dyDescent="0.3">
      <c r="A175" s="40" t="s">
        <v>1821</v>
      </c>
      <c r="B175" s="40" t="s">
        <v>1422</v>
      </c>
      <c r="C175" s="42" t="s">
        <v>1596</v>
      </c>
      <c r="D175" s="41" t="s">
        <v>1820</v>
      </c>
      <c r="E175" s="40" t="s">
        <v>1419</v>
      </c>
      <c r="F175" s="40" t="s">
        <v>819</v>
      </c>
      <c r="G175" s="40" t="s">
        <v>1594</v>
      </c>
    </row>
    <row r="176" spans="1:7" ht="18" customHeight="1" x14ac:dyDescent="0.3">
      <c r="A176" s="40" t="s">
        <v>1819</v>
      </c>
      <c r="B176" s="40" t="s">
        <v>1422</v>
      </c>
      <c r="C176" s="42" t="s">
        <v>1818</v>
      </c>
      <c r="D176" s="41" t="s">
        <v>1817</v>
      </c>
      <c r="E176" s="40" t="s">
        <v>1419</v>
      </c>
      <c r="F176" s="40" t="s">
        <v>819</v>
      </c>
      <c r="G176" s="40" t="s">
        <v>1816</v>
      </c>
    </row>
    <row r="177" spans="1:7" ht="18" customHeight="1" x14ac:dyDescent="0.3">
      <c r="A177" s="40" t="s">
        <v>1815</v>
      </c>
      <c r="B177" s="40" t="s">
        <v>1422</v>
      </c>
      <c r="C177" s="42" t="s">
        <v>1596</v>
      </c>
      <c r="D177" s="41" t="s">
        <v>1652</v>
      </c>
      <c r="E177" s="40" t="s">
        <v>1419</v>
      </c>
      <c r="F177" s="40" t="s">
        <v>819</v>
      </c>
      <c r="G177" s="40" t="s">
        <v>1594</v>
      </c>
    </row>
    <row r="178" spans="1:7" ht="18" customHeight="1" x14ac:dyDescent="0.3">
      <c r="A178" s="40" t="s">
        <v>1812</v>
      </c>
      <c r="B178" s="40" t="s">
        <v>1422</v>
      </c>
      <c r="C178" s="42" t="s">
        <v>1584</v>
      </c>
      <c r="D178" s="41" t="s">
        <v>1814</v>
      </c>
      <c r="E178" s="40" t="s">
        <v>1419</v>
      </c>
      <c r="F178" s="40" t="s">
        <v>819</v>
      </c>
      <c r="G178" s="40" t="s">
        <v>61</v>
      </c>
    </row>
    <row r="179" spans="1:7" ht="18" customHeight="1" x14ac:dyDescent="0.3">
      <c r="A179" s="40" t="s">
        <v>1812</v>
      </c>
      <c r="B179" s="40" t="s">
        <v>1422</v>
      </c>
      <c r="C179" s="42" t="s">
        <v>1656</v>
      </c>
      <c r="D179" s="41" t="s">
        <v>1762</v>
      </c>
      <c r="E179" s="40" t="s">
        <v>1419</v>
      </c>
      <c r="F179" s="40" t="s">
        <v>819</v>
      </c>
      <c r="G179" s="40" t="s">
        <v>1654</v>
      </c>
    </row>
    <row r="180" spans="1:7" ht="18" customHeight="1" x14ac:dyDescent="0.3">
      <c r="A180" s="40" t="s">
        <v>1812</v>
      </c>
      <c r="B180" s="40" t="s">
        <v>1422</v>
      </c>
      <c r="C180" s="42" t="s">
        <v>1180</v>
      </c>
      <c r="D180" s="41" t="s">
        <v>1813</v>
      </c>
      <c r="E180" s="40" t="s">
        <v>1419</v>
      </c>
      <c r="F180" s="40" t="s">
        <v>819</v>
      </c>
      <c r="G180" s="40" t="s">
        <v>1179</v>
      </c>
    </row>
    <row r="181" spans="1:7" ht="18" customHeight="1" x14ac:dyDescent="0.3">
      <c r="A181" s="40" t="s">
        <v>1812</v>
      </c>
      <c r="B181" s="40" t="s">
        <v>1422</v>
      </c>
      <c r="C181" s="42" t="s">
        <v>1809</v>
      </c>
      <c r="D181" s="41" t="s">
        <v>1415</v>
      </c>
      <c r="E181" s="40" t="s">
        <v>1419</v>
      </c>
      <c r="F181" s="40" t="s">
        <v>819</v>
      </c>
      <c r="G181" s="40" t="s">
        <v>1807</v>
      </c>
    </row>
    <row r="182" spans="1:7" ht="18" customHeight="1" x14ac:dyDescent="0.3">
      <c r="A182" s="40" t="s">
        <v>1810</v>
      </c>
      <c r="B182" s="40" t="s">
        <v>1422</v>
      </c>
      <c r="C182" s="42" t="s">
        <v>1180</v>
      </c>
      <c r="D182" s="41" t="s">
        <v>1811</v>
      </c>
      <c r="E182" s="40" t="s">
        <v>1419</v>
      </c>
      <c r="F182" s="40" t="s">
        <v>819</v>
      </c>
      <c r="G182" s="40" t="s">
        <v>1179</v>
      </c>
    </row>
    <row r="183" spans="1:7" ht="18" customHeight="1" x14ac:dyDescent="0.3">
      <c r="A183" s="40" t="s">
        <v>1810</v>
      </c>
      <c r="B183" s="40" t="s">
        <v>1422</v>
      </c>
      <c r="C183" s="42" t="s">
        <v>1809</v>
      </c>
      <c r="D183" s="41" t="s">
        <v>1808</v>
      </c>
      <c r="E183" s="40" t="s">
        <v>1419</v>
      </c>
      <c r="F183" s="40" t="s">
        <v>819</v>
      </c>
      <c r="G183" s="40" t="s">
        <v>1807</v>
      </c>
    </row>
    <row r="184" spans="1:7" ht="18" customHeight="1" x14ac:dyDescent="0.3">
      <c r="A184" s="40" t="s">
        <v>1806</v>
      </c>
      <c r="B184" s="40" t="s">
        <v>1422</v>
      </c>
      <c r="C184" s="42" t="s">
        <v>1596</v>
      </c>
      <c r="D184" s="41" t="s">
        <v>1784</v>
      </c>
      <c r="E184" s="40" t="s">
        <v>1419</v>
      </c>
      <c r="F184" s="40" t="s">
        <v>819</v>
      </c>
      <c r="G184" s="40" t="s">
        <v>1594</v>
      </c>
    </row>
    <row r="185" spans="1:7" ht="18" customHeight="1" x14ac:dyDescent="0.3">
      <c r="A185" s="40" t="s">
        <v>1806</v>
      </c>
      <c r="B185" s="40" t="s">
        <v>1422</v>
      </c>
      <c r="C185" s="42" t="s">
        <v>1584</v>
      </c>
      <c r="D185" s="41" t="s">
        <v>1805</v>
      </c>
      <c r="E185" s="40" t="s">
        <v>1419</v>
      </c>
      <c r="F185" s="40" t="s">
        <v>819</v>
      </c>
      <c r="G185" s="40" t="s">
        <v>61</v>
      </c>
    </row>
    <row r="186" spans="1:7" ht="18" customHeight="1" x14ac:dyDescent="0.3">
      <c r="A186" s="40" t="s">
        <v>1804</v>
      </c>
      <c r="B186" s="40" t="s">
        <v>1422</v>
      </c>
      <c r="C186" s="42" t="s">
        <v>1596</v>
      </c>
      <c r="D186" s="41" t="s">
        <v>1803</v>
      </c>
      <c r="E186" s="40" t="s">
        <v>1419</v>
      </c>
      <c r="F186" s="40" t="s">
        <v>819</v>
      </c>
      <c r="G186" s="40" t="s">
        <v>1594</v>
      </c>
    </row>
    <row r="187" spans="1:7" ht="18" customHeight="1" x14ac:dyDescent="0.3">
      <c r="A187" s="40" t="s">
        <v>1802</v>
      </c>
      <c r="B187" s="40" t="s">
        <v>1422</v>
      </c>
      <c r="C187" s="42" t="s">
        <v>80</v>
      </c>
      <c r="D187" s="41" t="s">
        <v>1801</v>
      </c>
      <c r="E187" s="40" t="s">
        <v>1419</v>
      </c>
      <c r="F187" s="40" t="s">
        <v>819</v>
      </c>
      <c r="G187" s="40" t="s">
        <v>81</v>
      </c>
    </row>
    <row r="188" spans="1:7" ht="18" customHeight="1" x14ac:dyDescent="0.3">
      <c r="A188" s="40" t="s">
        <v>1799</v>
      </c>
      <c r="B188" s="40" t="s">
        <v>1422</v>
      </c>
      <c r="C188" s="42" t="s">
        <v>1584</v>
      </c>
      <c r="D188" s="41" t="s">
        <v>1800</v>
      </c>
      <c r="E188" s="40" t="s">
        <v>1419</v>
      </c>
      <c r="F188" s="40" t="s">
        <v>819</v>
      </c>
      <c r="G188" s="40" t="s">
        <v>61</v>
      </c>
    </row>
    <row r="189" spans="1:7" ht="18" customHeight="1" x14ac:dyDescent="0.3">
      <c r="A189" s="40" t="s">
        <v>1799</v>
      </c>
      <c r="B189" s="40" t="s">
        <v>1422</v>
      </c>
      <c r="C189" s="42" t="s">
        <v>1596</v>
      </c>
      <c r="D189" s="41" t="s">
        <v>1798</v>
      </c>
      <c r="E189" s="40" t="s">
        <v>1419</v>
      </c>
      <c r="F189" s="40" t="s">
        <v>819</v>
      </c>
      <c r="G189" s="40" t="s">
        <v>1594</v>
      </c>
    </row>
    <row r="190" spans="1:7" ht="18" customHeight="1" x14ac:dyDescent="0.3">
      <c r="A190" s="40" t="s">
        <v>1797</v>
      </c>
      <c r="B190" s="40" t="s">
        <v>1422</v>
      </c>
      <c r="C190" s="42" t="s">
        <v>65</v>
      </c>
      <c r="D190" s="41" t="s">
        <v>1796</v>
      </c>
      <c r="E190" s="40" t="s">
        <v>1419</v>
      </c>
      <c r="F190" s="40" t="s">
        <v>819</v>
      </c>
      <c r="G190" s="40" t="s">
        <v>66</v>
      </c>
    </row>
    <row r="191" spans="1:7" ht="18" customHeight="1" x14ac:dyDescent="0.3">
      <c r="A191" s="40" t="s">
        <v>1795</v>
      </c>
      <c r="B191" s="40" t="s">
        <v>1422</v>
      </c>
      <c r="C191" s="42" t="s">
        <v>1596</v>
      </c>
      <c r="D191" s="41" t="s">
        <v>1768</v>
      </c>
      <c r="E191" s="40" t="s">
        <v>1419</v>
      </c>
      <c r="F191" s="40" t="s">
        <v>819</v>
      </c>
      <c r="G191" s="40" t="s">
        <v>1594</v>
      </c>
    </row>
    <row r="192" spans="1:7" ht="18" customHeight="1" x14ac:dyDescent="0.3">
      <c r="A192" s="40" t="s">
        <v>1794</v>
      </c>
      <c r="B192" s="40" t="s">
        <v>1422</v>
      </c>
      <c r="C192" s="42" t="s">
        <v>1596</v>
      </c>
      <c r="D192" s="41" t="s">
        <v>1779</v>
      </c>
      <c r="E192" s="40" t="s">
        <v>1419</v>
      </c>
      <c r="F192" s="40" t="s">
        <v>819</v>
      </c>
      <c r="G192" s="40" t="s">
        <v>1594</v>
      </c>
    </row>
    <row r="193" spans="1:7" ht="18" customHeight="1" x14ac:dyDescent="0.3">
      <c r="A193" s="40" t="s">
        <v>1794</v>
      </c>
      <c r="B193" s="40" t="s">
        <v>1422</v>
      </c>
      <c r="C193" s="42" t="s">
        <v>1596</v>
      </c>
      <c r="D193" s="41" t="s">
        <v>1674</v>
      </c>
      <c r="E193" s="40" t="s">
        <v>1419</v>
      </c>
      <c r="F193" s="40" t="s">
        <v>819</v>
      </c>
      <c r="G193" s="40" t="s">
        <v>1594</v>
      </c>
    </row>
    <row r="194" spans="1:7" ht="18" customHeight="1" x14ac:dyDescent="0.3">
      <c r="A194" s="40" t="s">
        <v>1792</v>
      </c>
      <c r="B194" s="40" t="s">
        <v>1413</v>
      </c>
      <c r="C194" s="42" t="s">
        <v>1678</v>
      </c>
      <c r="D194" s="41" t="s">
        <v>1793</v>
      </c>
      <c r="E194" s="40" t="s">
        <v>1411</v>
      </c>
      <c r="F194" s="40" t="s">
        <v>819</v>
      </c>
      <c r="G194" s="40" t="s">
        <v>898</v>
      </c>
    </row>
    <row r="195" spans="1:7" ht="18" customHeight="1" x14ac:dyDescent="0.3">
      <c r="A195" s="40" t="s">
        <v>1792</v>
      </c>
      <c r="B195" s="40" t="s">
        <v>1422</v>
      </c>
      <c r="C195" s="42" t="s">
        <v>1584</v>
      </c>
      <c r="D195" s="41" t="s">
        <v>1464</v>
      </c>
      <c r="E195" s="40" t="s">
        <v>1419</v>
      </c>
      <c r="F195" s="40" t="s">
        <v>819</v>
      </c>
      <c r="G195" s="40" t="s">
        <v>61</v>
      </c>
    </row>
    <row r="196" spans="1:7" ht="18" customHeight="1" x14ac:dyDescent="0.3">
      <c r="A196" s="40" t="s">
        <v>1790</v>
      </c>
      <c r="B196" s="40" t="s">
        <v>1422</v>
      </c>
      <c r="C196" s="42" t="s">
        <v>1656</v>
      </c>
      <c r="D196" s="41" t="s">
        <v>1791</v>
      </c>
      <c r="E196" s="40" t="s">
        <v>1419</v>
      </c>
      <c r="F196" s="40" t="s">
        <v>819</v>
      </c>
      <c r="G196" s="40" t="s">
        <v>1654</v>
      </c>
    </row>
    <row r="197" spans="1:7" ht="18" customHeight="1" x14ac:dyDescent="0.3">
      <c r="A197" s="40" t="s">
        <v>1790</v>
      </c>
      <c r="B197" s="40" t="s">
        <v>1413</v>
      </c>
      <c r="C197" s="42" t="s">
        <v>1789</v>
      </c>
      <c r="D197" s="41" t="s">
        <v>1788</v>
      </c>
      <c r="E197" s="40" t="s">
        <v>1411</v>
      </c>
      <c r="F197" s="40" t="s">
        <v>1787</v>
      </c>
      <c r="G197" s="40" t="s">
        <v>1300</v>
      </c>
    </row>
    <row r="198" spans="1:7" ht="18" customHeight="1" x14ac:dyDescent="0.3">
      <c r="A198" s="40" t="s">
        <v>1785</v>
      </c>
      <c r="B198" s="40" t="s">
        <v>1422</v>
      </c>
      <c r="C198" s="42" t="s">
        <v>55</v>
      </c>
      <c r="D198" s="41" t="s">
        <v>1786</v>
      </c>
      <c r="E198" s="40" t="s">
        <v>1419</v>
      </c>
      <c r="F198" s="40" t="s">
        <v>819</v>
      </c>
      <c r="G198" s="40" t="s">
        <v>56</v>
      </c>
    </row>
    <row r="199" spans="1:7" ht="18" customHeight="1" x14ac:dyDescent="0.3">
      <c r="A199" s="40" t="s">
        <v>1785</v>
      </c>
      <c r="B199" s="40" t="s">
        <v>1422</v>
      </c>
      <c r="C199" s="42" t="s">
        <v>55</v>
      </c>
      <c r="D199" s="41" t="s">
        <v>1784</v>
      </c>
      <c r="E199" s="40" t="s">
        <v>1419</v>
      </c>
      <c r="F199" s="40" t="s">
        <v>819</v>
      </c>
      <c r="G199" s="40" t="s">
        <v>56</v>
      </c>
    </row>
    <row r="200" spans="1:7" ht="18" customHeight="1" x14ac:dyDescent="0.3">
      <c r="A200" s="40" t="s">
        <v>1783</v>
      </c>
      <c r="B200" s="40" t="s">
        <v>1413</v>
      </c>
      <c r="C200" s="42" t="s">
        <v>1782</v>
      </c>
      <c r="D200" s="41" t="s">
        <v>1781</v>
      </c>
      <c r="E200" s="40" t="s">
        <v>1411</v>
      </c>
      <c r="F200" s="40" t="s">
        <v>819</v>
      </c>
      <c r="G200" s="40" t="s">
        <v>856</v>
      </c>
    </row>
    <row r="201" spans="1:7" ht="18" customHeight="1" x14ac:dyDescent="0.3">
      <c r="A201" s="40" t="s">
        <v>1778</v>
      </c>
      <c r="B201" s="40" t="s">
        <v>1422</v>
      </c>
      <c r="C201" s="42" t="s">
        <v>1498</v>
      </c>
      <c r="D201" s="41" t="s">
        <v>1780</v>
      </c>
      <c r="E201" s="40" t="s">
        <v>1419</v>
      </c>
      <c r="F201" s="40" t="s">
        <v>819</v>
      </c>
      <c r="G201" s="40" t="s">
        <v>898</v>
      </c>
    </row>
    <row r="202" spans="1:7" ht="18" customHeight="1" x14ac:dyDescent="0.3">
      <c r="A202" s="40" t="s">
        <v>1778</v>
      </c>
      <c r="B202" s="40" t="s">
        <v>1422</v>
      </c>
      <c r="C202" s="42" t="s">
        <v>1596</v>
      </c>
      <c r="D202" s="41" t="s">
        <v>1779</v>
      </c>
      <c r="E202" s="40" t="s">
        <v>1419</v>
      </c>
      <c r="F202" s="40" t="s">
        <v>819</v>
      </c>
      <c r="G202" s="40" t="s">
        <v>1594</v>
      </c>
    </row>
    <row r="203" spans="1:7" ht="18" customHeight="1" x14ac:dyDescent="0.3">
      <c r="A203" s="40" t="s">
        <v>1778</v>
      </c>
      <c r="B203" s="40" t="s">
        <v>1422</v>
      </c>
      <c r="C203" s="42" t="s">
        <v>1421</v>
      </c>
      <c r="D203" s="41" t="s">
        <v>1777</v>
      </c>
      <c r="E203" s="40" t="s">
        <v>1419</v>
      </c>
      <c r="F203" s="40" t="s">
        <v>819</v>
      </c>
      <c r="G203" s="40" t="s">
        <v>1417</v>
      </c>
    </row>
    <row r="204" spans="1:7" ht="18" customHeight="1" x14ac:dyDescent="0.3">
      <c r="A204" s="40" t="s">
        <v>1776</v>
      </c>
      <c r="B204" s="40" t="s">
        <v>1422</v>
      </c>
      <c r="C204" s="42" t="s">
        <v>1495</v>
      </c>
      <c r="D204" s="41" t="s">
        <v>1775</v>
      </c>
      <c r="E204" s="40" t="s">
        <v>1419</v>
      </c>
      <c r="F204" s="40" t="s">
        <v>819</v>
      </c>
      <c r="G204" s="40" t="s">
        <v>861</v>
      </c>
    </row>
    <row r="205" spans="1:7" ht="18" customHeight="1" x14ac:dyDescent="0.3">
      <c r="A205" s="40" t="s">
        <v>1774</v>
      </c>
      <c r="B205" s="40" t="s">
        <v>1413</v>
      </c>
      <c r="C205" s="42" t="s">
        <v>886</v>
      </c>
      <c r="D205" s="41" t="s">
        <v>1773</v>
      </c>
      <c r="E205" s="40" t="s">
        <v>1411</v>
      </c>
      <c r="F205" s="40" t="s">
        <v>819</v>
      </c>
      <c r="G205" s="40" t="s">
        <v>1665</v>
      </c>
    </row>
    <row r="206" spans="1:7" ht="18" customHeight="1" x14ac:dyDescent="0.3">
      <c r="A206" s="40" t="s">
        <v>1772</v>
      </c>
      <c r="B206" s="40" t="s">
        <v>1422</v>
      </c>
      <c r="C206" s="42" t="s">
        <v>1481</v>
      </c>
      <c r="D206" s="41" t="s">
        <v>1771</v>
      </c>
      <c r="E206" s="40" t="s">
        <v>1419</v>
      </c>
      <c r="F206" s="40" t="s">
        <v>819</v>
      </c>
      <c r="G206" s="40" t="s">
        <v>135</v>
      </c>
    </row>
    <row r="207" spans="1:7" ht="18" customHeight="1" x14ac:dyDescent="0.3">
      <c r="A207" s="40" t="s">
        <v>1769</v>
      </c>
      <c r="B207" s="40" t="s">
        <v>1422</v>
      </c>
      <c r="C207" s="42" t="s">
        <v>1584</v>
      </c>
      <c r="D207" s="41" t="s">
        <v>1770</v>
      </c>
      <c r="E207" s="40" t="s">
        <v>1419</v>
      </c>
      <c r="F207" s="40" t="s">
        <v>819</v>
      </c>
      <c r="G207" s="40" t="s">
        <v>61</v>
      </c>
    </row>
    <row r="208" spans="1:7" ht="18" customHeight="1" x14ac:dyDescent="0.3">
      <c r="A208" s="40" t="s">
        <v>1769</v>
      </c>
      <c r="B208" s="40" t="s">
        <v>1422</v>
      </c>
      <c r="C208" s="42" t="s">
        <v>1596</v>
      </c>
      <c r="D208" s="41" t="s">
        <v>1443</v>
      </c>
      <c r="E208" s="40" t="s">
        <v>1419</v>
      </c>
      <c r="F208" s="40" t="s">
        <v>819</v>
      </c>
      <c r="G208" s="40" t="s">
        <v>1594</v>
      </c>
    </row>
    <row r="209" spans="1:7" ht="18" customHeight="1" x14ac:dyDescent="0.3">
      <c r="A209" s="40" t="s">
        <v>1769</v>
      </c>
      <c r="B209" s="40" t="s">
        <v>1422</v>
      </c>
      <c r="C209" s="42" t="s">
        <v>1596</v>
      </c>
      <c r="D209" s="41" t="s">
        <v>1768</v>
      </c>
      <c r="E209" s="40" t="s">
        <v>1419</v>
      </c>
      <c r="F209" s="40" t="s">
        <v>819</v>
      </c>
      <c r="G209" s="40" t="s">
        <v>1594</v>
      </c>
    </row>
    <row r="210" spans="1:7" ht="18" customHeight="1" x14ac:dyDescent="0.3">
      <c r="A210" s="40" t="s">
        <v>1766</v>
      </c>
      <c r="B210" s="40" t="s">
        <v>1422</v>
      </c>
      <c r="C210" s="42" t="s">
        <v>1767</v>
      </c>
      <c r="D210" s="41" t="s">
        <v>1674</v>
      </c>
      <c r="E210" s="40" t="s">
        <v>1419</v>
      </c>
      <c r="F210" s="40" t="s">
        <v>819</v>
      </c>
      <c r="G210" s="40" t="s">
        <v>1763</v>
      </c>
    </row>
    <row r="211" spans="1:7" ht="18" customHeight="1" x14ac:dyDescent="0.3">
      <c r="A211" s="40" t="s">
        <v>1766</v>
      </c>
      <c r="B211" s="40" t="s">
        <v>1422</v>
      </c>
      <c r="C211" s="42" t="s">
        <v>1765</v>
      </c>
      <c r="D211" s="41" t="s">
        <v>1764</v>
      </c>
      <c r="E211" s="40" t="s">
        <v>1419</v>
      </c>
      <c r="F211" s="40" t="s">
        <v>819</v>
      </c>
      <c r="G211" s="40" t="s">
        <v>1763</v>
      </c>
    </row>
    <row r="212" spans="1:7" ht="18" customHeight="1" x14ac:dyDescent="0.3">
      <c r="A212" s="40" t="s">
        <v>1761</v>
      </c>
      <c r="B212" s="40" t="s">
        <v>1422</v>
      </c>
      <c r="C212" s="42" t="s">
        <v>1199</v>
      </c>
      <c r="D212" s="41" t="s">
        <v>1762</v>
      </c>
      <c r="E212" s="40" t="s">
        <v>1419</v>
      </c>
      <c r="F212" s="40" t="s">
        <v>819</v>
      </c>
      <c r="G212" s="40" t="s">
        <v>1198</v>
      </c>
    </row>
    <row r="213" spans="1:7" s="65" customFormat="1" ht="18" customHeight="1" x14ac:dyDescent="0.3">
      <c r="A213" s="62" t="s">
        <v>1761</v>
      </c>
      <c r="B213" s="62" t="s">
        <v>1422</v>
      </c>
      <c r="C213" s="63" t="s">
        <v>1760</v>
      </c>
      <c r="D213" s="64" t="s">
        <v>1759</v>
      </c>
      <c r="E213" s="62" t="s">
        <v>1419</v>
      </c>
      <c r="F213" s="62" t="s">
        <v>819</v>
      </c>
      <c r="G213" s="62" t="s">
        <v>1198</v>
      </c>
    </row>
    <row r="214" spans="1:7" ht="18" customHeight="1" x14ac:dyDescent="0.3">
      <c r="A214" s="40" t="s">
        <v>1758</v>
      </c>
      <c r="B214" s="40" t="s">
        <v>1413</v>
      </c>
      <c r="C214" s="42" t="s">
        <v>1678</v>
      </c>
      <c r="D214" s="41" t="s">
        <v>1757</v>
      </c>
      <c r="E214" s="40" t="s">
        <v>1411</v>
      </c>
      <c r="F214" s="40" t="s">
        <v>819</v>
      </c>
      <c r="G214" s="40" t="s">
        <v>898</v>
      </c>
    </row>
    <row r="215" spans="1:7" ht="18" customHeight="1" x14ac:dyDescent="0.3">
      <c r="A215" s="40" t="s">
        <v>1756</v>
      </c>
      <c r="B215" s="40" t="s">
        <v>1422</v>
      </c>
      <c r="C215" s="42" t="s">
        <v>1481</v>
      </c>
      <c r="D215" s="41" t="s">
        <v>1755</v>
      </c>
      <c r="E215" s="40" t="s">
        <v>1419</v>
      </c>
      <c r="F215" s="40" t="s">
        <v>819</v>
      </c>
      <c r="G215" s="40" t="s">
        <v>135</v>
      </c>
    </row>
    <row r="216" spans="1:7" ht="18" customHeight="1" x14ac:dyDescent="0.3">
      <c r="A216" s="40" t="s">
        <v>1754</v>
      </c>
      <c r="B216" s="40" t="s">
        <v>1422</v>
      </c>
      <c r="C216" s="42" t="s">
        <v>80</v>
      </c>
      <c r="D216" s="41" t="s">
        <v>1753</v>
      </c>
      <c r="E216" s="40" t="s">
        <v>1419</v>
      </c>
      <c r="F216" s="40" t="s">
        <v>819</v>
      </c>
      <c r="G216" s="40" t="s">
        <v>81</v>
      </c>
    </row>
    <row r="217" spans="1:7" ht="18" customHeight="1" x14ac:dyDescent="0.3">
      <c r="A217" s="40" t="s">
        <v>1751</v>
      </c>
      <c r="B217" s="40" t="s">
        <v>1422</v>
      </c>
      <c r="C217" s="42" t="s">
        <v>1421</v>
      </c>
      <c r="D217" s="41" t="s">
        <v>1752</v>
      </c>
      <c r="E217" s="40" t="s">
        <v>1419</v>
      </c>
      <c r="F217" s="40" t="s">
        <v>1418</v>
      </c>
      <c r="G217" s="40" t="s">
        <v>1417</v>
      </c>
    </row>
    <row r="218" spans="1:7" ht="18" customHeight="1" x14ac:dyDescent="0.3">
      <c r="A218" s="40" t="s">
        <v>1751</v>
      </c>
      <c r="B218" s="40" t="s">
        <v>1422</v>
      </c>
      <c r="C218" s="42" t="s">
        <v>1656</v>
      </c>
      <c r="D218" s="41" t="s">
        <v>1750</v>
      </c>
      <c r="E218" s="40" t="s">
        <v>1419</v>
      </c>
      <c r="F218" s="40" t="s">
        <v>819</v>
      </c>
      <c r="G218" s="40" t="s">
        <v>1654</v>
      </c>
    </row>
    <row r="219" spans="1:7" ht="18" customHeight="1" x14ac:dyDescent="0.3">
      <c r="A219" s="40" t="s">
        <v>1749</v>
      </c>
      <c r="B219" s="40" t="s">
        <v>1413</v>
      </c>
      <c r="C219" s="42" t="s">
        <v>1748</v>
      </c>
      <c r="D219" s="41" t="s">
        <v>1747</v>
      </c>
      <c r="E219" s="40" t="s">
        <v>1411</v>
      </c>
      <c r="F219" s="40" t="s">
        <v>819</v>
      </c>
      <c r="G219" s="40" t="s">
        <v>856</v>
      </c>
    </row>
    <row r="220" spans="1:7" ht="18" customHeight="1" x14ac:dyDescent="0.3">
      <c r="A220" s="40" t="s">
        <v>1746</v>
      </c>
      <c r="B220" s="40" t="s">
        <v>1422</v>
      </c>
      <c r="C220" s="42" t="s">
        <v>80</v>
      </c>
      <c r="D220" s="41" t="s">
        <v>1745</v>
      </c>
      <c r="E220" s="40" t="s">
        <v>1419</v>
      </c>
      <c r="F220" s="40" t="s">
        <v>819</v>
      </c>
      <c r="G220" s="40" t="s">
        <v>81</v>
      </c>
    </row>
    <row r="221" spans="1:7" ht="18" customHeight="1" x14ac:dyDescent="0.3">
      <c r="A221" s="40" t="s">
        <v>1744</v>
      </c>
      <c r="B221" s="40" t="s">
        <v>1422</v>
      </c>
      <c r="C221" s="42" t="s">
        <v>1584</v>
      </c>
      <c r="D221" s="41" t="s">
        <v>1743</v>
      </c>
      <c r="E221" s="40" t="s">
        <v>1419</v>
      </c>
      <c r="F221" s="40" t="s">
        <v>819</v>
      </c>
      <c r="G221" s="40" t="s">
        <v>61</v>
      </c>
    </row>
    <row r="222" spans="1:7" ht="18" customHeight="1" x14ac:dyDescent="0.3">
      <c r="A222" s="40" t="s">
        <v>1742</v>
      </c>
      <c r="B222" s="40" t="s">
        <v>1413</v>
      </c>
      <c r="C222" s="42" t="s">
        <v>886</v>
      </c>
      <c r="D222" s="41" t="s">
        <v>1741</v>
      </c>
      <c r="E222" s="40" t="s">
        <v>1411</v>
      </c>
      <c r="F222" s="40" t="s">
        <v>819</v>
      </c>
      <c r="G222" s="40" t="s">
        <v>1665</v>
      </c>
    </row>
    <row r="223" spans="1:7" ht="18" customHeight="1" x14ac:dyDescent="0.3">
      <c r="A223" s="40" t="s">
        <v>1740</v>
      </c>
      <c r="B223" s="40" t="s">
        <v>1422</v>
      </c>
      <c r="C223" s="42" t="s">
        <v>1584</v>
      </c>
      <c r="D223" s="41" t="s">
        <v>1739</v>
      </c>
      <c r="E223" s="40" t="s">
        <v>1419</v>
      </c>
      <c r="F223" s="40" t="s">
        <v>819</v>
      </c>
      <c r="G223" s="40" t="s">
        <v>61</v>
      </c>
    </row>
    <row r="224" spans="1:7" ht="18" customHeight="1" x14ac:dyDescent="0.3">
      <c r="A224" s="40" t="s">
        <v>1738</v>
      </c>
      <c r="B224" s="40" t="s">
        <v>1422</v>
      </c>
      <c r="C224" s="42" t="s">
        <v>1481</v>
      </c>
      <c r="D224" s="41" t="s">
        <v>1737</v>
      </c>
      <c r="E224" s="40" t="s">
        <v>1419</v>
      </c>
      <c r="F224" s="40" t="s">
        <v>819</v>
      </c>
      <c r="G224" s="40" t="s">
        <v>135</v>
      </c>
    </row>
    <row r="225" spans="1:7" ht="18" customHeight="1" x14ac:dyDescent="0.3">
      <c r="A225" s="40" t="s">
        <v>1736</v>
      </c>
      <c r="B225" s="40" t="s">
        <v>1422</v>
      </c>
      <c r="C225" s="42" t="s">
        <v>1495</v>
      </c>
      <c r="D225" s="41" t="s">
        <v>1735</v>
      </c>
      <c r="E225" s="40" t="s">
        <v>1419</v>
      </c>
      <c r="F225" s="40" t="s">
        <v>819</v>
      </c>
      <c r="G225" s="40" t="s">
        <v>861</v>
      </c>
    </row>
    <row r="226" spans="1:7" ht="18" customHeight="1" x14ac:dyDescent="0.3">
      <c r="A226" s="40" t="s">
        <v>1734</v>
      </c>
      <c r="B226" s="40" t="s">
        <v>1422</v>
      </c>
      <c r="C226" s="42" t="s">
        <v>1498</v>
      </c>
      <c r="D226" s="41" t="s">
        <v>1733</v>
      </c>
      <c r="E226" s="40" t="s">
        <v>1419</v>
      </c>
      <c r="F226" s="40" t="s">
        <v>819</v>
      </c>
      <c r="G226" s="40" t="s">
        <v>898</v>
      </c>
    </row>
    <row r="227" spans="1:7" ht="18" customHeight="1" x14ac:dyDescent="0.3">
      <c r="A227" s="40" t="s">
        <v>1732</v>
      </c>
      <c r="B227" s="40" t="s">
        <v>1422</v>
      </c>
      <c r="C227" s="42" t="s">
        <v>1481</v>
      </c>
      <c r="D227" s="41" t="s">
        <v>1731</v>
      </c>
      <c r="E227" s="40" t="s">
        <v>1419</v>
      </c>
      <c r="F227" s="40" t="s">
        <v>819</v>
      </c>
      <c r="G227" s="40" t="s">
        <v>135</v>
      </c>
    </row>
    <row r="228" spans="1:7" ht="18" customHeight="1" x14ac:dyDescent="0.3">
      <c r="A228" s="40" t="s">
        <v>1730</v>
      </c>
      <c r="B228" s="40" t="s">
        <v>1422</v>
      </c>
      <c r="C228" s="42" t="s">
        <v>1481</v>
      </c>
      <c r="D228" s="41" t="s">
        <v>1729</v>
      </c>
      <c r="E228" s="40" t="s">
        <v>1419</v>
      </c>
      <c r="F228" s="40" t="s">
        <v>819</v>
      </c>
      <c r="G228" s="40" t="s">
        <v>135</v>
      </c>
    </row>
    <row r="229" spans="1:7" ht="18" customHeight="1" x14ac:dyDescent="0.3">
      <c r="A229" s="40" t="s">
        <v>1728</v>
      </c>
      <c r="B229" s="40" t="s">
        <v>1413</v>
      </c>
      <c r="C229" s="42" t="s">
        <v>1678</v>
      </c>
      <c r="D229" s="41" t="s">
        <v>1727</v>
      </c>
      <c r="E229" s="40" t="s">
        <v>1411</v>
      </c>
      <c r="F229" s="40" t="s">
        <v>819</v>
      </c>
      <c r="G229" s="40" t="s">
        <v>898</v>
      </c>
    </row>
    <row r="230" spans="1:7" ht="18" customHeight="1" x14ac:dyDescent="0.3">
      <c r="A230" s="40" t="s">
        <v>1726</v>
      </c>
      <c r="B230" s="40" t="s">
        <v>1422</v>
      </c>
      <c r="C230" s="42" t="s">
        <v>1498</v>
      </c>
      <c r="D230" s="41" t="s">
        <v>1725</v>
      </c>
      <c r="E230" s="40" t="s">
        <v>1419</v>
      </c>
      <c r="F230" s="40" t="s">
        <v>819</v>
      </c>
      <c r="G230" s="40" t="s">
        <v>898</v>
      </c>
    </row>
    <row r="231" spans="1:7" ht="18" customHeight="1" x14ac:dyDescent="0.3">
      <c r="A231" s="40" t="s">
        <v>1724</v>
      </c>
      <c r="B231" s="40" t="s">
        <v>1422</v>
      </c>
      <c r="C231" s="42" t="s">
        <v>1723</v>
      </c>
      <c r="D231" s="41" t="s">
        <v>1424</v>
      </c>
      <c r="E231" s="40" t="s">
        <v>1419</v>
      </c>
      <c r="F231" s="40" t="s">
        <v>819</v>
      </c>
      <c r="G231" s="40" t="s">
        <v>1417</v>
      </c>
    </row>
    <row r="232" spans="1:7" ht="18" customHeight="1" x14ac:dyDescent="0.3">
      <c r="A232" s="40" t="s">
        <v>1722</v>
      </c>
      <c r="B232" s="40" t="s">
        <v>1413</v>
      </c>
      <c r="C232" s="42" t="s">
        <v>1721</v>
      </c>
      <c r="D232" s="41" t="s">
        <v>1720</v>
      </c>
      <c r="E232" s="40" t="s">
        <v>1411</v>
      </c>
      <c r="F232" s="40" t="s">
        <v>819</v>
      </c>
      <c r="G232" s="40" t="s">
        <v>856</v>
      </c>
    </row>
    <row r="233" spans="1:7" ht="18" customHeight="1" x14ac:dyDescent="0.3">
      <c r="A233" s="40" t="s">
        <v>1719</v>
      </c>
      <c r="B233" s="40" t="s">
        <v>1422</v>
      </c>
      <c r="C233" s="42" t="s">
        <v>1584</v>
      </c>
      <c r="D233" s="41" t="s">
        <v>1718</v>
      </c>
      <c r="E233" s="40" t="s">
        <v>1419</v>
      </c>
      <c r="F233" s="40" t="s">
        <v>819</v>
      </c>
      <c r="G233" s="40" t="s">
        <v>61</v>
      </c>
    </row>
    <row r="234" spans="1:7" ht="18" customHeight="1" x14ac:dyDescent="0.3">
      <c r="A234" s="40" t="s">
        <v>1717</v>
      </c>
      <c r="B234" s="40" t="s">
        <v>1422</v>
      </c>
      <c r="C234" s="42" t="s">
        <v>1716</v>
      </c>
      <c r="D234" s="41" t="s">
        <v>1715</v>
      </c>
      <c r="E234" s="40" t="s">
        <v>1419</v>
      </c>
      <c r="F234" s="40" t="s">
        <v>819</v>
      </c>
      <c r="G234" s="40" t="s">
        <v>1714</v>
      </c>
    </row>
    <row r="235" spans="1:7" ht="18" customHeight="1" x14ac:dyDescent="0.3">
      <c r="A235" s="40" t="s">
        <v>1453</v>
      </c>
      <c r="B235" s="40" t="s">
        <v>1413</v>
      </c>
      <c r="C235" s="42" t="s">
        <v>886</v>
      </c>
      <c r="D235" s="41" t="s">
        <v>1713</v>
      </c>
      <c r="E235" s="40" t="s">
        <v>1411</v>
      </c>
      <c r="F235" s="40" t="s">
        <v>819</v>
      </c>
      <c r="G235" s="40" t="s">
        <v>1665</v>
      </c>
    </row>
    <row r="236" spans="1:7" ht="18" customHeight="1" x14ac:dyDescent="0.3">
      <c r="A236" s="40" t="s">
        <v>1712</v>
      </c>
      <c r="B236" s="40" t="s">
        <v>1422</v>
      </c>
      <c r="C236" s="42" t="s">
        <v>1421</v>
      </c>
      <c r="D236" s="41" t="s">
        <v>1711</v>
      </c>
      <c r="E236" s="40" t="s">
        <v>1419</v>
      </c>
      <c r="F236" s="40" t="s">
        <v>819</v>
      </c>
      <c r="G236" s="40" t="s">
        <v>1417</v>
      </c>
    </row>
    <row r="237" spans="1:7" ht="18" customHeight="1" x14ac:dyDescent="0.3">
      <c r="A237" s="40" t="s">
        <v>1710</v>
      </c>
      <c r="B237" s="40" t="s">
        <v>1422</v>
      </c>
      <c r="C237" s="42" t="s">
        <v>1481</v>
      </c>
      <c r="D237" s="41" t="s">
        <v>1709</v>
      </c>
      <c r="E237" s="40" t="s">
        <v>1419</v>
      </c>
      <c r="F237" s="40" t="s">
        <v>819</v>
      </c>
      <c r="G237" s="40" t="s">
        <v>135</v>
      </c>
    </row>
    <row r="238" spans="1:7" ht="18" customHeight="1" x14ac:dyDescent="0.3">
      <c r="A238" s="40" t="s">
        <v>1708</v>
      </c>
      <c r="B238" s="40" t="s">
        <v>1422</v>
      </c>
      <c r="C238" s="42" t="s">
        <v>1485</v>
      </c>
      <c r="D238" s="41" t="s">
        <v>1707</v>
      </c>
      <c r="E238" s="40" t="s">
        <v>1419</v>
      </c>
      <c r="F238" s="40" t="s">
        <v>819</v>
      </c>
      <c r="G238" s="40" t="s">
        <v>135</v>
      </c>
    </row>
    <row r="239" spans="1:7" ht="18" customHeight="1" x14ac:dyDescent="0.3">
      <c r="A239" s="40" t="s">
        <v>1706</v>
      </c>
      <c r="B239" s="40" t="s">
        <v>1422</v>
      </c>
      <c r="C239" s="42" t="s">
        <v>1495</v>
      </c>
      <c r="D239" s="41" t="s">
        <v>1705</v>
      </c>
      <c r="E239" s="40" t="s">
        <v>1419</v>
      </c>
      <c r="F239" s="40" t="s">
        <v>1418</v>
      </c>
      <c r="G239" s="40" t="s">
        <v>861</v>
      </c>
    </row>
    <row r="240" spans="1:7" ht="18" customHeight="1" x14ac:dyDescent="0.3">
      <c r="A240" s="40" t="s">
        <v>1704</v>
      </c>
      <c r="B240" s="40" t="s">
        <v>1422</v>
      </c>
      <c r="C240" s="42" t="s">
        <v>684</v>
      </c>
      <c r="D240" s="41" t="s">
        <v>1703</v>
      </c>
      <c r="E240" s="40" t="s">
        <v>1419</v>
      </c>
      <c r="F240" s="40" t="s">
        <v>819</v>
      </c>
      <c r="G240" s="40" t="s">
        <v>1700</v>
      </c>
    </row>
    <row r="241" spans="1:7" ht="18" customHeight="1" x14ac:dyDescent="0.3">
      <c r="A241" s="40" t="s">
        <v>1702</v>
      </c>
      <c r="B241" s="40" t="s">
        <v>1422</v>
      </c>
      <c r="C241" s="42" t="s">
        <v>684</v>
      </c>
      <c r="D241" s="41" t="s">
        <v>1701</v>
      </c>
      <c r="E241" s="40" t="s">
        <v>1419</v>
      </c>
      <c r="F241" s="40" t="s">
        <v>819</v>
      </c>
      <c r="G241" s="40" t="s">
        <v>1700</v>
      </c>
    </row>
    <row r="242" spans="1:7" ht="18" customHeight="1" x14ac:dyDescent="0.3">
      <c r="A242" s="40" t="s">
        <v>1699</v>
      </c>
      <c r="B242" s="40" t="s">
        <v>1413</v>
      </c>
      <c r="C242" s="42" t="s">
        <v>1678</v>
      </c>
      <c r="D242" s="41" t="s">
        <v>1698</v>
      </c>
      <c r="E242" s="40" t="s">
        <v>1411</v>
      </c>
      <c r="F242" s="40" t="s">
        <v>819</v>
      </c>
      <c r="G242" s="40" t="s">
        <v>898</v>
      </c>
    </row>
    <row r="243" spans="1:7" ht="18" customHeight="1" x14ac:dyDescent="0.3">
      <c r="A243" s="40" t="s">
        <v>1696</v>
      </c>
      <c r="B243" s="40" t="s">
        <v>1413</v>
      </c>
      <c r="C243" s="42" t="s">
        <v>1673</v>
      </c>
      <c r="D243" s="41" t="s">
        <v>1697</v>
      </c>
      <c r="E243" s="40" t="s">
        <v>1411</v>
      </c>
      <c r="F243" s="40" t="s">
        <v>819</v>
      </c>
      <c r="G243" s="40" t="s">
        <v>856</v>
      </c>
    </row>
    <row r="244" spans="1:7" ht="18" customHeight="1" x14ac:dyDescent="0.3">
      <c r="A244" s="40" t="s">
        <v>1696</v>
      </c>
      <c r="B244" s="40" t="s">
        <v>1422</v>
      </c>
      <c r="C244" s="42" t="s">
        <v>80</v>
      </c>
      <c r="D244" s="41" t="s">
        <v>1695</v>
      </c>
      <c r="E244" s="40" t="s">
        <v>1419</v>
      </c>
      <c r="F244" s="40" t="s">
        <v>819</v>
      </c>
      <c r="G244" s="40" t="s">
        <v>81</v>
      </c>
    </row>
    <row r="245" spans="1:7" ht="18" customHeight="1" x14ac:dyDescent="0.3">
      <c r="A245" s="40" t="s">
        <v>1694</v>
      </c>
      <c r="B245" s="40" t="s">
        <v>1422</v>
      </c>
      <c r="C245" s="42" t="s">
        <v>1656</v>
      </c>
      <c r="D245" s="41" t="s">
        <v>1693</v>
      </c>
      <c r="E245" s="40" t="s">
        <v>1419</v>
      </c>
      <c r="F245" s="40" t="s">
        <v>819</v>
      </c>
      <c r="G245" s="40" t="s">
        <v>1654</v>
      </c>
    </row>
    <row r="246" spans="1:7" ht="18" customHeight="1" x14ac:dyDescent="0.3">
      <c r="A246" s="40" t="s">
        <v>1692</v>
      </c>
      <c r="B246" s="40" t="s">
        <v>1413</v>
      </c>
      <c r="C246" s="42" t="s">
        <v>886</v>
      </c>
      <c r="D246" s="41" t="s">
        <v>1691</v>
      </c>
      <c r="E246" s="40" t="s">
        <v>1411</v>
      </c>
      <c r="F246" s="40" t="s">
        <v>819</v>
      </c>
      <c r="G246" s="40" t="s">
        <v>1665</v>
      </c>
    </row>
    <row r="247" spans="1:7" ht="18" customHeight="1" x14ac:dyDescent="0.3">
      <c r="A247" s="40" t="s">
        <v>1690</v>
      </c>
      <c r="B247" s="40" t="s">
        <v>1422</v>
      </c>
      <c r="C247" s="42" t="s">
        <v>1481</v>
      </c>
      <c r="D247" s="41" t="s">
        <v>1689</v>
      </c>
      <c r="E247" s="40" t="s">
        <v>1419</v>
      </c>
      <c r="F247" s="40" t="s">
        <v>819</v>
      </c>
      <c r="G247" s="40" t="s">
        <v>135</v>
      </c>
    </row>
    <row r="248" spans="1:7" ht="18" customHeight="1" x14ac:dyDescent="0.3">
      <c r="A248" s="40" t="s">
        <v>1688</v>
      </c>
      <c r="B248" s="40" t="s">
        <v>1422</v>
      </c>
      <c r="C248" s="42" t="s">
        <v>1498</v>
      </c>
      <c r="D248" s="41" t="s">
        <v>1543</v>
      </c>
      <c r="E248" s="40" t="s">
        <v>1419</v>
      </c>
      <c r="F248" s="40" t="s">
        <v>819</v>
      </c>
      <c r="G248" s="40" t="s">
        <v>898</v>
      </c>
    </row>
    <row r="249" spans="1:7" ht="18" customHeight="1" x14ac:dyDescent="0.3">
      <c r="A249" s="40" t="s">
        <v>1688</v>
      </c>
      <c r="B249" s="40" t="s">
        <v>1422</v>
      </c>
      <c r="C249" s="42" t="s">
        <v>1495</v>
      </c>
      <c r="D249" s="41" t="s">
        <v>1687</v>
      </c>
      <c r="E249" s="40" t="s">
        <v>1419</v>
      </c>
      <c r="F249" s="40" t="s">
        <v>819</v>
      </c>
      <c r="G249" s="40" t="s">
        <v>861</v>
      </c>
    </row>
    <row r="250" spans="1:7" ht="18" customHeight="1" x14ac:dyDescent="0.3">
      <c r="A250" s="40" t="s">
        <v>1686</v>
      </c>
      <c r="B250" s="40" t="s">
        <v>1422</v>
      </c>
      <c r="C250" s="42" t="s">
        <v>1498</v>
      </c>
      <c r="D250" s="41" t="s">
        <v>1685</v>
      </c>
      <c r="E250" s="40" t="s">
        <v>1419</v>
      </c>
      <c r="F250" s="40" t="s">
        <v>819</v>
      </c>
      <c r="G250" s="40" t="s">
        <v>898</v>
      </c>
    </row>
    <row r="251" spans="1:7" ht="18" customHeight="1" x14ac:dyDescent="0.3">
      <c r="A251" s="40" t="s">
        <v>1684</v>
      </c>
      <c r="B251" s="40" t="s">
        <v>1422</v>
      </c>
      <c r="C251" s="42" t="s">
        <v>1481</v>
      </c>
      <c r="D251" s="41" t="s">
        <v>1683</v>
      </c>
      <c r="E251" s="40" t="s">
        <v>1419</v>
      </c>
      <c r="F251" s="40" t="s">
        <v>819</v>
      </c>
      <c r="G251" s="40" t="s">
        <v>135</v>
      </c>
    </row>
    <row r="252" spans="1:7" ht="18" customHeight="1" x14ac:dyDescent="0.3">
      <c r="A252" s="40" t="s">
        <v>1682</v>
      </c>
      <c r="B252" s="40" t="s">
        <v>1422</v>
      </c>
      <c r="C252" s="42" t="s">
        <v>1481</v>
      </c>
      <c r="D252" s="41" t="s">
        <v>1681</v>
      </c>
      <c r="E252" s="40" t="s">
        <v>1419</v>
      </c>
      <c r="F252" s="40" t="s">
        <v>819</v>
      </c>
      <c r="G252" s="40" t="s">
        <v>135</v>
      </c>
    </row>
    <row r="253" spans="1:7" ht="18" customHeight="1" x14ac:dyDescent="0.3">
      <c r="A253" s="40" t="s">
        <v>1680</v>
      </c>
      <c r="B253" s="40" t="s">
        <v>1422</v>
      </c>
      <c r="C253" s="42" t="s">
        <v>1495</v>
      </c>
      <c r="D253" s="41" t="s">
        <v>1679</v>
      </c>
      <c r="E253" s="40" t="s">
        <v>1419</v>
      </c>
      <c r="F253" s="40" t="s">
        <v>1418</v>
      </c>
      <c r="G253" s="40" t="s">
        <v>861</v>
      </c>
    </row>
    <row r="254" spans="1:7" ht="18" customHeight="1" x14ac:dyDescent="0.3">
      <c r="A254" s="40" t="s">
        <v>1675</v>
      </c>
      <c r="B254" s="40" t="s">
        <v>1413</v>
      </c>
      <c r="C254" s="42" t="s">
        <v>1678</v>
      </c>
      <c r="D254" s="41" t="s">
        <v>1677</v>
      </c>
      <c r="E254" s="40" t="s">
        <v>1411</v>
      </c>
      <c r="F254" s="40" t="s">
        <v>819</v>
      </c>
      <c r="G254" s="40" t="s">
        <v>898</v>
      </c>
    </row>
    <row r="255" spans="1:7" ht="18" customHeight="1" x14ac:dyDescent="0.3">
      <c r="A255" s="40" t="s">
        <v>1675</v>
      </c>
      <c r="B255" s="40" t="s">
        <v>1422</v>
      </c>
      <c r="C255" s="42" t="s">
        <v>1584</v>
      </c>
      <c r="D255" s="41" t="s">
        <v>1676</v>
      </c>
      <c r="E255" s="40" t="s">
        <v>1419</v>
      </c>
      <c r="F255" s="40" t="s">
        <v>819</v>
      </c>
      <c r="G255" s="40" t="s">
        <v>61</v>
      </c>
    </row>
    <row r="256" spans="1:7" ht="18" customHeight="1" x14ac:dyDescent="0.3">
      <c r="A256" s="40" t="s">
        <v>1675</v>
      </c>
      <c r="B256" s="40" t="s">
        <v>1422</v>
      </c>
      <c r="C256" s="42" t="s">
        <v>1536</v>
      </c>
      <c r="D256" s="41" t="s">
        <v>1496</v>
      </c>
      <c r="E256" s="40" t="s">
        <v>1419</v>
      </c>
      <c r="F256" s="40" t="s">
        <v>819</v>
      </c>
      <c r="G256" s="40" t="s">
        <v>1535</v>
      </c>
    </row>
    <row r="257" spans="1:7" ht="18" customHeight="1" x14ac:dyDescent="0.3">
      <c r="A257" s="40" t="s">
        <v>1675</v>
      </c>
      <c r="B257" s="40" t="s">
        <v>1422</v>
      </c>
      <c r="C257" s="42" t="s">
        <v>1596</v>
      </c>
      <c r="D257" s="41" t="s">
        <v>1674</v>
      </c>
      <c r="E257" s="40" t="s">
        <v>1419</v>
      </c>
      <c r="F257" s="40" t="s">
        <v>819</v>
      </c>
      <c r="G257" s="40" t="s">
        <v>1594</v>
      </c>
    </row>
    <row r="258" spans="1:7" ht="18" customHeight="1" x14ac:dyDescent="0.3">
      <c r="A258" s="40" t="s">
        <v>1671</v>
      </c>
      <c r="B258" s="40" t="s">
        <v>1413</v>
      </c>
      <c r="C258" s="42" t="s">
        <v>1673</v>
      </c>
      <c r="D258" s="41" t="s">
        <v>1672</v>
      </c>
      <c r="E258" s="40" t="s">
        <v>1411</v>
      </c>
      <c r="F258" s="40" t="s">
        <v>819</v>
      </c>
      <c r="G258" s="40" t="s">
        <v>856</v>
      </c>
    </row>
    <row r="259" spans="1:7" ht="18" customHeight="1" x14ac:dyDescent="0.3">
      <c r="A259" s="40" t="s">
        <v>1671</v>
      </c>
      <c r="B259" s="40" t="s">
        <v>1422</v>
      </c>
      <c r="C259" s="42" t="s">
        <v>1584</v>
      </c>
      <c r="D259" s="41" t="s">
        <v>1670</v>
      </c>
      <c r="E259" s="40" t="s">
        <v>1419</v>
      </c>
      <c r="F259" s="40" t="s">
        <v>819</v>
      </c>
      <c r="G259" s="40" t="s">
        <v>61</v>
      </c>
    </row>
    <row r="260" spans="1:7" ht="18" customHeight="1" x14ac:dyDescent="0.3">
      <c r="A260" s="40" t="s">
        <v>1669</v>
      </c>
      <c r="B260" s="40" t="s">
        <v>1422</v>
      </c>
      <c r="C260" s="42" t="s">
        <v>1668</v>
      </c>
      <c r="D260" s="41" t="s">
        <v>1578</v>
      </c>
      <c r="E260" s="40" t="s">
        <v>1419</v>
      </c>
      <c r="F260" s="40" t="s">
        <v>819</v>
      </c>
      <c r="G260" s="40" t="s">
        <v>1667</v>
      </c>
    </row>
    <row r="261" spans="1:7" ht="18" customHeight="1" x14ac:dyDescent="0.3">
      <c r="A261" s="40" t="s">
        <v>1664</v>
      </c>
      <c r="B261" s="40" t="s">
        <v>1413</v>
      </c>
      <c r="C261" s="42" t="s">
        <v>886</v>
      </c>
      <c r="D261" s="41" t="s">
        <v>1666</v>
      </c>
      <c r="E261" s="40" t="s">
        <v>1411</v>
      </c>
      <c r="F261" s="40" t="s">
        <v>819</v>
      </c>
      <c r="G261" s="40" t="s">
        <v>1665</v>
      </c>
    </row>
    <row r="262" spans="1:7" ht="18" customHeight="1" x14ac:dyDescent="0.3">
      <c r="A262" s="40" t="s">
        <v>1664</v>
      </c>
      <c r="B262" s="40" t="s">
        <v>1422</v>
      </c>
      <c r="C262" s="42" t="s">
        <v>1498</v>
      </c>
      <c r="D262" s="41" t="s">
        <v>1663</v>
      </c>
      <c r="E262" s="40" t="s">
        <v>1419</v>
      </c>
      <c r="F262" s="40" t="s">
        <v>819</v>
      </c>
      <c r="G262" s="40" t="s">
        <v>898</v>
      </c>
    </row>
    <row r="263" spans="1:7" ht="18" customHeight="1" x14ac:dyDescent="0.3">
      <c r="A263" s="40" t="s">
        <v>1662</v>
      </c>
      <c r="B263" s="40" t="s">
        <v>1422</v>
      </c>
      <c r="C263" s="42" t="s">
        <v>1495</v>
      </c>
      <c r="D263" s="41" t="s">
        <v>1661</v>
      </c>
      <c r="E263" s="40" t="s">
        <v>1419</v>
      </c>
      <c r="F263" s="40" t="s">
        <v>819</v>
      </c>
      <c r="G263" s="40" t="s">
        <v>861</v>
      </c>
    </row>
    <row r="264" spans="1:7" ht="18" customHeight="1" x14ac:dyDescent="0.3">
      <c r="A264" s="40" t="s">
        <v>1651</v>
      </c>
      <c r="B264" s="40" t="s">
        <v>1422</v>
      </c>
      <c r="C264" s="42" t="s">
        <v>1596</v>
      </c>
      <c r="D264" s="41" t="s">
        <v>1487</v>
      </c>
      <c r="E264" s="40" t="s">
        <v>1419</v>
      </c>
      <c r="F264" s="40" t="s">
        <v>819</v>
      </c>
      <c r="G264" s="40" t="s">
        <v>1594</v>
      </c>
    </row>
    <row r="265" spans="1:7" ht="18" customHeight="1" x14ac:dyDescent="0.3">
      <c r="A265" s="40" t="s">
        <v>1660</v>
      </c>
      <c r="B265" s="40" t="s">
        <v>1422</v>
      </c>
      <c r="C265" s="42" t="s">
        <v>1495</v>
      </c>
      <c r="D265" s="41" t="s">
        <v>1659</v>
      </c>
      <c r="E265" s="40" t="s">
        <v>1419</v>
      </c>
      <c r="F265" s="40" t="s">
        <v>819</v>
      </c>
      <c r="G265" s="40" t="s">
        <v>861</v>
      </c>
    </row>
    <row r="266" spans="1:7" ht="18" customHeight="1" x14ac:dyDescent="0.3">
      <c r="A266" s="40" t="s">
        <v>1657</v>
      </c>
      <c r="B266" s="40" t="s">
        <v>1422</v>
      </c>
      <c r="C266" s="42" t="s">
        <v>1481</v>
      </c>
      <c r="D266" s="41" t="s">
        <v>1658</v>
      </c>
      <c r="E266" s="40" t="s">
        <v>1419</v>
      </c>
      <c r="F266" s="40" t="s">
        <v>819</v>
      </c>
      <c r="G266" s="40" t="s">
        <v>135</v>
      </c>
    </row>
    <row r="267" spans="1:7" ht="18" customHeight="1" x14ac:dyDescent="0.3">
      <c r="A267" s="40" t="s">
        <v>1657</v>
      </c>
      <c r="B267" s="40" t="s">
        <v>1422</v>
      </c>
      <c r="C267" s="42" t="s">
        <v>1656</v>
      </c>
      <c r="D267" s="41" t="s">
        <v>1655</v>
      </c>
      <c r="E267" s="40" t="s">
        <v>1419</v>
      </c>
      <c r="F267" s="40" t="s">
        <v>819</v>
      </c>
      <c r="G267" s="40" t="s">
        <v>1654</v>
      </c>
    </row>
    <row r="268" spans="1:7" ht="18" customHeight="1" x14ac:dyDescent="0.3">
      <c r="A268" s="40" t="s">
        <v>1653</v>
      </c>
      <c r="B268" s="40" t="s">
        <v>1422</v>
      </c>
      <c r="C268" s="42" t="s">
        <v>1596</v>
      </c>
      <c r="D268" s="41" t="s">
        <v>1652</v>
      </c>
      <c r="E268" s="40" t="s">
        <v>1419</v>
      </c>
      <c r="F268" s="40" t="s">
        <v>819</v>
      </c>
      <c r="G268" s="40" t="s">
        <v>1594</v>
      </c>
    </row>
    <row r="269" spans="1:7" ht="18" customHeight="1" x14ac:dyDescent="0.3">
      <c r="A269" s="40" t="s">
        <v>1651</v>
      </c>
      <c r="B269" s="40" t="s">
        <v>1422</v>
      </c>
      <c r="C269" s="42" t="s">
        <v>1596</v>
      </c>
      <c r="D269" s="41" t="s">
        <v>1650</v>
      </c>
      <c r="E269" s="40" t="s">
        <v>1419</v>
      </c>
      <c r="F269" s="40" t="s">
        <v>819</v>
      </c>
      <c r="G269" s="40" t="s">
        <v>1594</v>
      </c>
    </row>
    <row r="270" spans="1:7" ht="18" customHeight="1" x14ac:dyDescent="0.3">
      <c r="A270" s="40" t="s">
        <v>1648</v>
      </c>
      <c r="B270" s="40" t="s">
        <v>1422</v>
      </c>
      <c r="C270" s="42" t="s">
        <v>1485</v>
      </c>
      <c r="D270" s="41" t="s">
        <v>1649</v>
      </c>
      <c r="E270" s="40" t="s">
        <v>1419</v>
      </c>
      <c r="F270" s="40" t="s">
        <v>819</v>
      </c>
      <c r="G270" s="40" t="s">
        <v>135</v>
      </c>
    </row>
    <row r="271" spans="1:7" ht="18" customHeight="1" x14ac:dyDescent="0.3">
      <c r="A271" s="40" t="s">
        <v>1648</v>
      </c>
      <c r="B271" s="40" t="s">
        <v>1422</v>
      </c>
      <c r="C271" s="42" t="s">
        <v>1584</v>
      </c>
      <c r="D271" s="41" t="s">
        <v>1647</v>
      </c>
      <c r="E271" s="40" t="s">
        <v>1419</v>
      </c>
      <c r="F271" s="40" t="s">
        <v>819</v>
      </c>
      <c r="G271" s="40" t="s">
        <v>61</v>
      </c>
    </row>
    <row r="272" spans="1:7" ht="18" customHeight="1" x14ac:dyDescent="0.3">
      <c r="A272" s="40" t="s">
        <v>1645</v>
      </c>
      <c r="B272" s="40" t="s">
        <v>1422</v>
      </c>
      <c r="C272" s="42" t="s">
        <v>1421</v>
      </c>
      <c r="D272" s="41" t="s">
        <v>1646</v>
      </c>
      <c r="E272" s="40" t="s">
        <v>1419</v>
      </c>
      <c r="F272" s="40" t="s">
        <v>819</v>
      </c>
      <c r="G272" s="40" t="s">
        <v>1417</v>
      </c>
    </row>
    <row r="273" spans="1:7" ht="18" customHeight="1" x14ac:dyDescent="0.3">
      <c r="A273" s="40" t="s">
        <v>1645</v>
      </c>
      <c r="B273" s="40" t="s">
        <v>1422</v>
      </c>
      <c r="C273" s="42" t="s">
        <v>80</v>
      </c>
      <c r="D273" s="41" t="s">
        <v>1644</v>
      </c>
      <c r="E273" s="40" t="s">
        <v>1419</v>
      </c>
      <c r="F273" s="40" t="s">
        <v>819</v>
      </c>
      <c r="G273" s="40" t="s">
        <v>81</v>
      </c>
    </row>
    <row r="274" spans="1:7" ht="18" customHeight="1" x14ac:dyDescent="0.3">
      <c r="A274" s="40" t="s">
        <v>1642</v>
      </c>
      <c r="B274" s="40" t="s">
        <v>1422</v>
      </c>
      <c r="C274" s="42" t="s">
        <v>1584</v>
      </c>
      <c r="D274" s="41" t="s">
        <v>1643</v>
      </c>
      <c r="E274" s="40" t="s">
        <v>1419</v>
      </c>
      <c r="F274" s="40" t="s">
        <v>819</v>
      </c>
      <c r="G274" s="40" t="s">
        <v>61</v>
      </c>
    </row>
    <row r="275" spans="1:7" ht="18" customHeight="1" x14ac:dyDescent="0.3">
      <c r="A275" s="40" t="s">
        <v>1642</v>
      </c>
      <c r="B275" s="40" t="s">
        <v>1422</v>
      </c>
      <c r="C275" s="42" t="s">
        <v>1610</v>
      </c>
      <c r="D275" s="41" t="s">
        <v>1641</v>
      </c>
      <c r="E275" s="40" t="s">
        <v>1419</v>
      </c>
      <c r="F275" s="40" t="s">
        <v>819</v>
      </c>
      <c r="G275" s="40" t="s">
        <v>1608</v>
      </c>
    </row>
    <row r="276" spans="1:7" ht="18" customHeight="1" x14ac:dyDescent="0.3">
      <c r="A276" s="40" t="s">
        <v>1638</v>
      </c>
      <c r="B276" s="40" t="s">
        <v>1422</v>
      </c>
      <c r="C276" s="42" t="s">
        <v>1584</v>
      </c>
      <c r="D276" s="41" t="s">
        <v>1640</v>
      </c>
      <c r="E276" s="40" t="s">
        <v>1419</v>
      </c>
      <c r="F276" s="40" t="s">
        <v>819</v>
      </c>
      <c r="G276" s="40" t="s">
        <v>61</v>
      </c>
    </row>
    <row r="277" spans="1:7" ht="18" customHeight="1" x14ac:dyDescent="0.3">
      <c r="A277" s="40" t="s">
        <v>1638</v>
      </c>
      <c r="B277" s="40" t="s">
        <v>1422</v>
      </c>
      <c r="C277" s="42" t="s">
        <v>1500</v>
      </c>
      <c r="D277" s="41" t="s">
        <v>1639</v>
      </c>
      <c r="E277" s="40" t="s">
        <v>1419</v>
      </c>
      <c r="F277" s="40" t="s">
        <v>819</v>
      </c>
      <c r="G277" s="40" t="s">
        <v>115</v>
      </c>
    </row>
    <row r="278" spans="1:7" ht="18" customHeight="1" x14ac:dyDescent="0.3">
      <c r="A278" s="40" t="s">
        <v>1638</v>
      </c>
      <c r="B278" s="40" t="s">
        <v>1422</v>
      </c>
      <c r="C278" s="42" t="s">
        <v>1500</v>
      </c>
      <c r="D278" s="41" t="s">
        <v>1637</v>
      </c>
      <c r="E278" s="40" t="s">
        <v>1419</v>
      </c>
      <c r="F278" s="40" t="s">
        <v>819</v>
      </c>
      <c r="G278" s="40" t="s">
        <v>115</v>
      </c>
    </row>
    <row r="279" spans="1:7" ht="18" customHeight="1" x14ac:dyDescent="0.3">
      <c r="A279" s="40" t="s">
        <v>1635</v>
      </c>
      <c r="B279" s="40" t="s">
        <v>1422</v>
      </c>
      <c r="C279" s="42" t="s">
        <v>1584</v>
      </c>
      <c r="D279" s="41" t="s">
        <v>1636</v>
      </c>
      <c r="E279" s="40" t="s">
        <v>1419</v>
      </c>
      <c r="F279" s="40" t="s">
        <v>819</v>
      </c>
      <c r="G279" s="40" t="s">
        <v>61</v>
      </c>
    </row>
    <row r="280" spans="1:7" ht="18" customHeight="1" x14ac:dyDescent="0.3">
      <c r="A280" s="40" t="s">
        <v>1635</v>
      </c>
      <c r="B280" s="40" t="s">
        <v>1422</v>
      </c>
      <c r="C280" s="42" t="s">
        <v>1596</v>
      </c>
      <c r="D280" s="41" t="s">
        <v>1591</v>
      </c>
      <c r="E280" s="40" t="s">
        <v>1419</v>
      </c>
      <c r="F280" s="40" t="s">
        <v>819</v>
      </c>
      <c r="G280" s="40" t="s">
        <v>1594</v>
      </c>
    </row>
    <row r="281" spans="1:7" ht="18" customHeight="1" x14ac:dyDescent="0.3">
      <c r="A281" s="40" t="s">
        <v>1634</v>
      </c>
      <c r="B281" s="40" t="s">
        <v>1422</v>
      </c>
      <c r="C281" s="42" t="s">
        <v>1584</v>
      </c>
      <c r="D281" s="41" t="s">
        <v>1633</v>
      </c>
      <c r="E281" s="40" t="s">
        <v>1419</v>
      </c>
      <c r="F281" s="40" t="s">
        <v>819</v>
      </c>
      <c r="G281" s="40" t="s">
        <v>61</v>
      </c>
    </row>
    <row r="282" spans="1:7" ht="18" customHeight="1" x14ac:dyDescent="0.3">
      <c r="A282" s="40" t="s">
        <v>1632</v>
      </c>
      <c r="B282" s="40" t="s">
        <v>1422</v>
      </c>
      <c r="C282" s="42" t="s">
        <v>1596</v>
      </c>
      <c r="D282" s="41" t="s">
        <v>1440</v>
      </c>
      <c r="E282" s="40" t="s">
        <v>1419</v>
      </c>
      <c r="F282" s="40" t="s">
        <v>819</v>
      </c>
      <c r="G282" s="40" t="s">
        <v>1594</v>
      </c>
    </row>
    <row r="283" spans="1:7" ht="18" customHeight="1" x14ac:dyDescent="0.3">
      <c r="A283" s="40" t="s">
        <v>1632</v>
      </c>
      <c r="B283" s="40" t="s">
        <v>1422</v>
      </c>
      <c r="C283" s="42" t="s">
        <v>1631</v>
      </c>
      <c r="D283" s="41" t="s">
        <v>1630</v>
      </c>
      <c r="E283" s="40" t="s">
        <v>1419</v>
      </c>
      <c r="F283" s="40" t="s">
        <v>819</v>
      </c>
      <c r="G283" s="40" t="s">
        <v>856</v>
      </c>
    </row>
    <row r="284" spans="1:7" ht="18" customHeight="1" x14ac:dyDescent="0.3">
      <c r="A284" s="40" t="s">
        <v>1628</v>
      </c>
      <c r="B284" s="40" t="s">
        <v>1422</v>
      </c>
      <c r="C284" s="42" t="s">
        <v>1495</v>
      </c>
      <c r="D284" s="41" t="s">
        <v>1629</v>
      </c>
      <c r="E284" s="40" t="s">
        <v>1419</v>
      </c>
      <c r="F284" s="40" t="s">
        <v>819</v>
      </c>
      <c r="G284" s="40" t="s">
        <v>861</v>
      </c>
    </row>
    <row r="285" spans="1:7" ht="18" customHeight="1" x14ac:dyDescent="0.3">
      <c r="A285" s="40" t="s">
        <v>1628</v>
      </c>
      <c r="B285" s="40" t="s">
        <v>1422</v>
      </c>
      <c r="C285" s="42" t="s">
        <v>1584</v>
      </c>
      <c r="D285" s="41" t="s">
        <v>1627</v>
      </c>
      <c r="E285" s="40" t="s">
        <v>1419</v>
      </c>
      <c r="F285" s="40" t="s">
        <v>819</v>
      </c>
      <c r="G285" s="40" t="s">
        <v>61</v>
      </c>
    </row>
    <row r="286" spans="1:7" ht="18" customHeight="1" x14ac:dyDescent="0.3">
      <c r="A286" s="40" t="s">
        <v>1625</v>
      </c>
      <c r="B286" s="40" t="s">
        <v>1422</v>
      </c>
      <c r="C286" s="42" t="s">
        <v>1584</v>
      </c>
      <c r="D286" s="41" t="s">
        <v>1626</v>
      </c>
      <c r="E286" s="40" t="s">
        <v>1419</v>
      </c>
      <c r="F286" s="40" t="s">
        <v>819</v>
      </c>
      <c r="G286" s="40" t="s">
        <v>61</v>
      </c>
    </row>
    <row r="287" spans="1:7" ht="18" customHeight="1" x14ac:dyDescent="0.3">
      <c r="A287" s="40" t="s">
        <v>1625</v>
      </c>
      <c r="B287" s="40" t="s">
        <v>1422</v>
      </c>
      <c r="C287" s="42" t="s">
        <v>1596</v>
      </c>
      <c r="D287" s="41" t="s">
        <v>1540</v>
      </c>
      <c r="E287" s="40" t="s">
        <v>1419</v>
      </c>
      <c r="F287" s="40" t="s">
        <v>819</v>
      </c>
      <c r="G287" s="40" t="s">
        <v>1594</v>
      </c>
    </row>
    <row r="288" spans="1:7" ht="18" customHeight="1" x14ac:dyDescent="0.3">
      <c r="A288" s="40" t="s">
        <v>1624</v>
      </c>
      <c r="B288" s="40" t="s">
        <v>1422</v>
      </c>
      <c r="C288" s="42" t="s">
        <v>1623</v>
      </c>
      <c r="D288" s="41" t="s">
        <v>1622</v>
      </c>
      <c r="E288" s="40" t="s">
        <v>1419</v>
      </c>
      <c r="F288" s="40" t="s">
        <v>819</v>
      </c>
      <c r="G288" s="40" t="s">
        <v>1621</v>
      </c>
    </row>
    <row r="289" spans="1:7" ht="18" customHeight="1" x14ac:dyDescent="0.3">
      <c r="A289" s="40" t="s">
        <v>1619</v>
      </c>
      <c r="B289" s="40" t="s">
        <v>1422</v>
      </c>
      <c r="C289" s="42" t="s">
        <v>1620</v>
      </c>
      <c r="D289" s="41" t="s">
        <v>1464</v>
      </c>
      <c r="E289" s="40" t="s">
        <v>1419</v>
      </c>
      <c r="F289" s="40" t="s">
        <v>819</v>
      </c>
      <c r="G289" s="40" t="s">
        <v>898</v>
      </c>
    </row>
    <row r="290" spans="1:7" ht="18" customHeight="1" x14ac:dyDescent="0.3">
      <c r="A290" s="40" t="s">
        <v>1619</v>
      </c>
      <c r="B290" s="40" t="s">
        <v>1422</v>
      </c>
      <c r="C290" s="42" t="s">
        <v>1500</v>
      </c>
      <c r="D290" s="41" t="s">
        <v>1618</v>
      </c>
      <c r="E290" s="40" t="s">
        <v>1419</v>
      </c>
      <c r="F290" s="40" t="s">
        <v>819</v>
      </c>
      <c r="G290" s="40" t="s">
        <v>115</v>
      </c>
    </row>
    <row r="291" spans="1:7" ht="18" customHeight="1" x14ac:dyDescent="0.3">
      <c r="A291" s="40" t="s">
        <v>1613</v>
      </c>
      <c r="B291" s="40" t="s">
        <v>1422</v>
      </c>
      <c r="C291" s="42" t="s">
        <v>1616</v>
      </c>
      <c r="D291" s="41" t="s">
        <v>1617</v>
      </c>
      <c r="E291" s="40" t="s">
        <v>1419</v>
      </c>
      <c r="F291" s="40" t="s">
        <v>819</v>
      </c>
      <c r="G291" s="40" t="s">
        <v>1614</v>
      </c>
    </row>
    <row r="292" spans="1:7" ht="18" customHeight="1" x14ac:dyDescent="0.3">
      <c r="A292" s="40" t="s">
        <v>1613</v>
      </c>
      <c r="B292" s="40" t="s">
        <v>1422</v>
      </c>
      <c r="C292" s="42" t="s">
        <v>1616</v>
      </c>
      <c r="D292" s="41" t="s">
        <v>1615</v>
      </c>
      <c r="E292" s="40" t="s">
        <v>1419</v>
      </c>
      <c r="F292" s="40" t="s">
        <v>819</v>
      </c>
      <c r="G292" s="40" t="s">
        <v>1614</v>
      </c>
    </row>
    <row r="293" spans="1:7" ht="18" customHeight="1" x14ac:dyDescent="0.3">
      <c r="A293" s="40" t="s">
        <v>1613</v>
      </c>
      <c r="B293" s="40" t="s">
        <v>1422</v>
      </c>
      <c r="C293" s="42" t="s">
        <v>1592</v>
      </c>
      <c r="D293" s="41" t="s">
        <v>1612</v>
      </c>
      <c r="E293" s="40" t="s">
        <v>1419</v>
      </c>
      <c r="F293" s="40" t="s">
        <v>819</v>
      </c>
      <c r="G293" s="40" t="s">
        <v>1590</v>
      </c>
    </row>
    <row r="294" spans="1:7" ht="18" customHeight="1" x14ac:dyDescent="0.3">
      <c r="A294" s="40" t="s">
        <v>1611</v>
      </c>
      <c r="B294" s="40" t="s">
        <v>1422</v>
      </c>
      <c r="C294" s="42" t="s">
        <v>1610</v>
      </c>
      <c r="D294" s="41" t="s">
        <v>1609</v>
      </c>
      <c r="E294" s="40" t="s">
        <v>1419</v>
      </c>
      <c r="F294" s="40" t="s">
        <v>819</v>
      </c>
      <c r="G294" s="40" t="s">
        <v>1608</v>
      </c>
    </row>
    <row r="295" spans="1:7" ht="18" customHeight="1" x14ac:dyDescent="0.3">
      <c r="A295" s="40" t="s">
        <v>1606</v>
      </c>
      <c r="B295" s="40" t="s">
        <v>1422</v>
      </c>
      <c r="C295" s="42" t="s">
        <v>1481</v>
      </c>
      <c r="D295" s="41" t="s">
        <v>1599</v>
      </c>
      <c r="E295" s="40" t="s">
        <v>1419</v>
      </c>
      <c r="F295" s="40" t="s">
        <v>819</v>
      </c>
      <c r="G295" s="40" t="s">
        <v>135</v>
      </c>
    </row>
    <row r="296" spans="1:7" ht="18" customHeight="1" x14ac:dyDescent="0.3">
      <c r="A296" s="40" t="s">
        <v>1606</v>
      </c>
      <c r="B296" s="40" t="s">
        <v>1422</v>
      </c>
      <c r="C296" s="42" t="s">
        <v>1584</v>
      </c>
      <c r="D296" s="41" t="s">
        <v>1607</v>
      </c>
      <c r="E296" s="40" t="s">
        <v>1419</v>
      </c>
      <c r="F296" s="40" t="s">
        <v>819</v>
      </c>
      <c r="G296" s="40" t="s">
        <v>61</v>
      </c>
    </row>
    <row r="297" spans="1:7" ht="18" customHeight="1" x14ac:dyDescent="0.3">
      <c r="A297" s="40" t="s">
        <v>1606</v>
      </c>
      <c r="B297" s="40" t="s">
        <v>1422</v>
      </c>
      <c r="C297" s="42" t="s">
        <v>1596</v>
      </c>
      <c r="D297" s="41" t="s">
        <v>1443</v>
      </c>
      <c r="E297" s="40" t="s">
        <v>1419</v>
      </c>
      <c r="F297" s="40" t="s">
        <v>819</v>
      </c>
      <c r="G297" s="40" t="s">
        <v>1594</v>
      </c>
    </row>
    <row r="298" spans="1:7" ht="18" customHeight="1" x14ac:dyDescent="0.3">
      <c r="A298" s="40" t="s">
        <v>1604</v>
      </c>
      <c r="B298" s="40" t="s">
        <v>1422</v>
      </c>
      <c r="C298" s="42" t="s">
        <v>1584</v>
      </c>
      <c r="D298" s="41" t="s">
        <v>1605</v>
      </c>
      <c r="E298" s="40" t="s">
        <v>1419</v>
      </c>
      <c r="F298" s="40" t="s">
        <v>819</v>
      </c>
      <c r="G298" s="40" t="s">
        <v>61</v>
      </c>
    </row>
    <row r="299" spans="1:7" ht="18" customHeight="1" x14ac:dyDescent="0.3">
      <c r="A299" s="40" t="s">
        <v>1604</v>
      </c>
      <c r="B299" s="40" t="s">
        <v>1422</v>
      </c>
      <c r="C299" s="42" t="s">
        <v>1596</v>
      </c>
      <c r="D299" s="41" t="s">
        <v>1603</v>
      </c>
      <c r="E299" s="40" t="s">
        <v>1419</v>
      </c>
      <c r="F299" s="40" t="s">
        <v>819</v>
      </c>
      <c r="G299" s="40" t="s">
        <v>1594</v>
      </c>
    </row>
    <row r="300" spans="1:7" ht="18" customHeight="1" x14ac:dyDescent="0.3">
      <c r="A300" s="40" t="s">
        <v>1602</v>
      </c>
      <c r="B300" s="40" t="s">
        <v>1422</v>
      </c>
      <c r="C300" s="42" t="s">
        <v>1481</v>
      </c>
      <c r="D300" s="41" t="s">
        <v>1601</v>
      </c>
      <c r="E300" s="40" t="s">
        <v>1419</v>
      </c>
      <c r="F300" s="40" t="s">
        <v>819</v>
      </c>
      <c r="G300" s="40" t="s">
        <v>135</v>
      </c>
    </row>
    <row r="301" spans="1:7" ht="18" customHeight="1" x14ac:dyDescent="0.3">
      <c r="A301" s="40" t="s">
        <v>1598</v>
      </c>
      <c r="B301" s="40" t="s">
        <v>1422</v>
      </c>
      <c r="C301" s="42" t="s">
        <v>1498</v>
      </c>
      <c r="D301" s="41" t="s">
        <v>1600</v>
      </c>
      <c r="E301" s="40" t="s">
        <v>1419</v>
      </c>
      <c r="F301" s="40" t="s">
        <v>819</v>
      </c>
      <c r="G301" s="40" t="s">
        <v>898</v>
      </c>
    </row>
    <row r="302" spans="1:7" ht="18" customHeight="1" x14ac:dyDescent="0.3">
      <c r="A302" s="40" t="s">
        <v>1598</v>
      </c>
      <c r="B302" s="40" t="s">
        <v>1422</v>
      </c>
      <c r="C302" s="42" t="s">
        <v>1481</v>
      </c>
      <c r="D302" s="41" t="s">
        <v>1599</v>
      </c>
      <c r="E302" s="40" t="s">
        <v>1419</v>
      </c>
      <c r="F302" s="40" t="s">
        <v>819</v>
      </c>
      <c r="G302" s="40" t="s">
        <v>135</v>
      </c>
    </row>
    <row r="303" spans="1:7" ht="18" customHeight="1" x14ac:dyDescent="0.3">
      <c r="A303" s="40" t="s">
        <v>1598</v>
      </c>
      <c r="B303" s="40" t="s">
        <v>1422</v>
      </c>
      <c r="C303" s="42" t="s">
        <v>1495</v>
      </c>
      <c r="D303" s="41" t="s">
        <v>1597</v>
      </c>
      <c r="E303" s="40" t="s">
        <v>1419</v>
      </c>
      <c r="F303" s="40" t="s">
        <v>819</v>
      </c>
      <c r="G303" s="40" t="s">
        <v>861</v>
      </c>
    </row>
    <row r="304" spans="1:7" ht="18" customHeight="1" x14ac:dyDescent="0.3">
      <c r="A304" s="40" t="s">
        <v>1593</v>
      </c>
      <c r="B304" s="40" t="s">
        <v>1422</v>
      </c>
      <c r="C304" s="42" t="s">
        <v>1596</v>
      </c>
      <c r="D304" s="41" t="s">
        <v>1595</v>
      </c>
      <c r="E304" s="40" t="s">
        <v>1419</v>
      </c>
      <c r="F304" s="40" t="s">
        <v>819</v>
      </c>
      <c r="G304" s="40" t="s">
        <v>1594</v>
      </c>
    </row>
    <row r="305" spans="1:7" ht="18" customHeight="1" x14ac:dyDescent="0.3">
      <c r="A305" s="40" t="s">
        <v>1593</v>
      </c>
      <c r="B305" s="40" t="s">
        <v>1422</v>
      </c>
      <c r="C305" s="42" t="s">
        <v>1592</v>
      </c>
      <c r="D305" s="41" t="s">
        <v>1591</v>
      </c>
      <c r="E305" s="40" t="s">
        <v>1419</v>
      </c>
      <c r="F305" s="40" t="s">
        <v>819</v>
      </c>
      <c r="G305" s="40" t="s">
        <v>1590</v>
      </c>
    </row>
    <row r="306" spans="1:7" ht="18" customHeight="1" x14ac:dyDescent="0.3">
      <c r="A306" s="40" t="s">
        <v>1589</v>
      </c>
      <c r="B306" s="40" t="s">
        <v>1422</v>
      </c>
      <c r="C306" s="42" t="s">
        <v>1500</v>
      </c>
      <c r="D306" s="41" t="s">
        <v>1588</v>
      </c>
      <c r="E306" s="40" t="s">
        <v>1419</v>
      </c>
      <c r="F306" s="40" t="s">
        <v>819</v>
      </c>
      <c r="G306" s="40" t="s">
        <v>115</v>
      </c>
    </row>
    <row r="307" spans="1:7" ht="18" customHeight="1" x14ac:dyDescent="0.3">
      <c r="A307" s="40" t="s">
        <v>1585</v>
      </c>
      <c r="B307" s="40" t="s">
        <v>1422</v>
      </c>
      <c r="C307" s="42" t="s">
        <v>1498</v>
      </c>
      <c r="D307" s="41" t="s">
        <v>1587</v>
      </c>
      <c r="E307" s="40" t="s">
        <v>1419</v>
      </c>
      <c r="F307" s="40" t="s">
        <v>819</v>
      </c>
      <c r="G307" s="40" t="s">
        <v>898</v>
      </c>
    </row>
    <row r="308" spans="1:7" ht="18" customHeight="1" x14ac:dyDescent="0.3">
      <c r="A308" s="40" t="s">
        <v>1585</v>
      </c>
      <c r="B308" s="40" t="s">
        <v>1422</v>
      </c>
      <c r="C308" s="42" t="s">
        <v>831</v>
      </c>
      <c r="D308" s="41" t="s">
        <v>1586</v>
      </c>
      <c r="E308" s="40" t="s">
        <v>1419</v>
      </c>
      <c r="F308" s="40" t="s">
        <v>819</v>
      </c>
      <c r="G308" s="40" t="s">
        <v>830</v>
      </c>
    </row>
    <row r="309" spans="1:7" ht="18" customHeight="1" x14ac:dyDescent="0.3">
      <c r="A309" s="40" t="s">
        <v>1585</v>
      </c>
      <c r="B309" s="40" t="s">
        <v>1422</v>
      </c>
      <c r="C309" s="42" t="s">
        <v>1584</v>
      </c>
      <c r="D309" s="41" t="s">
        <v>1583</v>
      </c>
      <c r="E309" s="40" t="s">
        <v>1419</v>
      </c>
      <c r="F309" s="40" t="s">
        <v>819</v>
      </c>
      <c r="G309" s="40" t="s">
        <v>61</v>
      </c>
    </row>
    <row r="310" spans="1:7" ht="18" customHeight="1" x14ac:dyDescent="0.3">
      <c r="A310" s="40" t="s">
        <v>1581</v>
      </c>
      <c r="B310" s="40" t="s">
        <v>1422</v>
      </c>
      <c r="C310" s="42" t="s">
        <v>1500</v>
      </c>
      <c r="D310" s="41" t="s">
        <v>1582</v>
      </c>
      <c r="E310" s="40" t="s">
        <v>1419</v>
      </c>
      <c r="F310" s="40" t="s">
        <v>819</v>
      </c>
      <c r="G310" s="40" t="s">
        <v>115</v>
      </c>
    </row>
    <row r="311" spans="1:7" ht="18" customHeight="1" x14ac:dyDescent="0.3">
      <c r="A311" s="40" t="s">
        <v>1581</v>
      </c>
      <c r="B311" s="40" t="s">
        <v>1422</v>
      </c>
      <c r="C311" s="42" t="s">
        <v>1500</v>
      </c>
      <c r="D311" s="41" t="s">
        <v>1580</v>
      </c>
      <c r="E311" s="40" t="s">
        <v>1419</v>
      </c>
      <c r="F311" s="40" t="s">
        <v>819</v>
      </c>
      <c r="G311" s="40" t="s">
        <v>115</v>
      </c>
    </row>
    <row r="312" spans="1:7" ht="18" customHeight="1" x14ac:dyDescent="0.3">
      <c r="A312" s="40" t="s">
        <v>1570</v>
      </c>
      <c r="B312" s="40" t="s">
        <v>1422</v>
      </c>
      <c r="C312" s="42" t="s">
        <v>1579</v>
      </c>
      <c r="D312" s="41" t="s">
        <v>1578</v>
      </c>
      <c r="E312" s="40" t="s">
        <v>1419</v>
      </c>
      <c r="F312" s="40" t="s">
        <v>819</v>
      </c>
      <c r="G312" s="40" t="s">
        <v>1577</v>
      </c>
    </row>
    <row r="313" spans="1:7" ht="18" customHeight="1" x14ac:dyDescent="0.3">
      <c r="A313" s="40" t="s">
        <v>1570</v>
      </c>
      <c r="B313" s="40" t="s">
        <v>1422</v>
      </c>
      <c r="C313" s="42" t="s">
        <v>1576</v>
      </c>
      <c r="D313" s="41" t="s">
        <v>1496</v>
      </c>
      <c r="E313" s="40" t="s">
        <v>1419</v>
      </c>
      <c r="F313" s="40" t="s">
        <v>819</v>
      </c>
      <c r="G313" s="40" t="s">
        <v>1575</v>
      </c>
    </row>
    <row r="314" spans="1:7" ht="18" customHeight="1" x14ac:dyDescent="0.3">
      <c r="A314" s="40" t="s">
        <v>1570</v>
      </c>
      <c r="B314" s="40" t="s">
        <v>1422</v>
      </c>
      <c r="C314" s="42" t="s">
        <v>1573</v>
      </c>
      <c r="D314" s="41" t="s">
        <v>1574</v>
      </c>
      <c r="E314" s="40" t="s">
        <v>1419</v>
      </c>
      <c r="F314" s="40" t="s">
        <v>819</v>
      </c>
      <c r="G314" s="40" t="s">
        <v>1571</v>
      </c>
    </row>
    <row r="315" spans="1:7" ht="18" customHeight="1" x14ac:dyDescent="0.3">
      <c r="A315" s="40" t="s">
        <v>1570</v>
      </c>
      <c r="B315" s="40" t="s">
        <v>1422</v>
      </c>
      <c r="C315" s="42" t="s">
        <v>1573</v>
      </c>
      <c r="D315" s="41" t="s">
        <v>1572</v>
      </c>
      <c r="E315" s="40" t="s">
        <v>1419</v>
      </c>
      <c r="F315" s="40" t="s">
        <v>819</v>
      </c>
      <c r="G315" s="40" t="s">
        <v>1571</v>
      </c>
    </row>
    <row r="316" spans="1:7" ht="18" customHeight="1" x14ac:dyDescent="0.3">
      <c r="A316" s="40" t="s">
        <v>1570</v>
      </c>
      <c r="B316" s="40" t="s">
        <v>1422</v>
      </c>
      <c r="C316" s="42" t="s">
        <v>831</v>
      </c>
      <c r="D316" s="41" t="s">
        <v>1569</v>
      </c>
      <c r="E316" s="40" t="s">
        <v>1419</v>
      </c>
      <c r="F316" s="40" t="s">
        <v>819</v>
      </c>
      <c r="G316" s="40" t="s">
        <v>830</v>
      </c>
    </row>
    <row r="317" spans="1:7" ht="18" customHeight="1" x14ac:dyDescent="0.3">
      <c r="A317" s="40" t="s">
        <v>1567</v>
      </c>
      <c r="B317" s="40" t="s">
        <v>1422</v>
      </c>
      <c r="C317" s="42" t="s">
        <v>1500</v>
      </c>
      <c r="D317" s="41" t="s">
        <v>1568</v>
      </c>
      <c r="E317" s="40" t="s">
        <v>1419</v>
      </c>
      <c r="F317" s="40" t="s">
        <v>819</v>
      </c>
      <c r="G317" s="40" t="s">
        <v>115</v>
      </c>
    </row>
    <row r="318" spans="1:7" ht="18" customHeight="1" x14ac:dyDescent="0.3">
      <c r="A318" s="40" t="s">
        <v>1567</v>
      </c>
      <c r="B318" s="40" t="s">
        <v>1422</v>
      </c>
      <c r="C318" s="42" t="s">
        <v>1516</v>
      </c>
      <c r="D318" s="41" t="s">
        <v>1515</v>
      </c>
      <c r="E318" s="40" t="s">
        <v>1419</v>
      </c>
      <c r="F318" s="40" t="s">
        <v>819</v>
      </c>
      <c r="G318" s="40" t="s">
        <v>115</v>
      </c>
    </row>
    <row r="319" spans="1:7" ht="18" customHeight="1" x14ac:dyDescent="0.3">
      <c r="A319" s="40" t="s">
        <v>1567</v>
      </c>
      <c r="B319" s="40" t="s">
        <v>1422</v>
      </c>
      <c r="C319" s="42" t="s">
        <v>55</v>
      </c>
      <c r="D319" s="41" t="s">
        <v>1566</v>
      </c>
      <c r="E319" s="40" t="s">
        <v>1419</v>
      </c>
      <c r="F319" s="40" t="s">
        <v>819</v>
      </c>
      <c r="G319" s="40" t="s">
        <v>56</v>
      </c>
    </row>
    <row r="320" spans="1:7" ht="18" customHeight="1" x14ac:dyDescent="0.3">
      <c r="A320" s="40" t="s">
        <v>1565</v>
      </c>
      <c r="B320" s="40" t="s">
        <v>1422</v>
      </c>
      <c r="C320" s="42" t="s">
        <v>1564</v>
      </c>
      <c r="D320" s="41" t="s">
        <v>1563</v>
      </c>
      <c r="E320" s="40" t="s">
        <v>1419</v>
      </c>
      <c r="F320" s="40" t="s">
        <v>819</v>
      </c>
      <c r="G320" s="40" t="s">
        <v>1562</v>
      </c>
    </row>
    <row r="321" spans="1:7" ht="18" customHeight="1" x14ac:dyDescent="0.3">
      <c r="A321" s="40" t="s">
        <v>1561</v>
      </c>
      <c r="B321" s="40" t="s">
        <v>1422</v>
      </c>
      <c r="C321" s="42" t="s">
        <v>80</v>
      </c>
      <c r="D321" s="41" t="s">
        <v>1489</v>
      </c>
      <c r="E321" s="40" t="s">
        <v>1419</v>
      </c>
      <c r="F321" s="40" t="s">
        <v>819</v>
      </c>
      <c r="G321" s="40" t="s">
        <v>81</v>
      </c>
    </row>
    <row r="322" spans="1:7" ht="18" customHeight="1" x14ac:dyDescent="0.3">
      <c r="A322" s="40" t="s">
        <v>1561</v>
      </c>
      <c r="B322" s="40" t="s">
        <v>1422</v>
      </c>
      <c r="C322" s="42" t="s">
        <v>1560</v>
      </c>
      <c r="D322" s="41" t="s">
        <v>1559</v>
      </c>
      <c r="E322" s="40" t="s">
        <v>1419</v>
      </c>
      <c r="F322" s="40" t="s">
        <v>819</v>
      </c>
      <c r="G322" s="40" t="s">
        <v>1558</v>
      </c>
    </row>
    <row r="323" spans="1:7" ht="18" customHeight="1" x14ac:dyDescent="0.3">
      <c r="A323" s="40" t="s">
        <v>1557</v>
      </c>
      <c r="B323" s="40" t="s">
        <v>1422</v>
      </c>
      <c r="C323" s="42" t="s">
        <v>1495</v>
      </c>
      <c r="D323" s="41" t="s">
        <v>1556</v>
      </c>
      <c r="E323" s="40" t="s">
        <v>1419</v>
      </c>
      <c r="F323" s="40" t="s">
        <v>819</v>
      </c>
      <c r="G323" s="40" t="s">
        <v>861</v>
      </c>
    </row>
    <row r="324" spans="1:7" ht="18" customHeight="1" x14ac:dyDescent="0.3">
      <c r="A324" s="40" t="s">
        <v>1554</v>
      </c>
      <c r="B324" s="40" t="s">
        <v>1422</v>
      </c>
      <c r="C324" s="42" t="s">
        <v>1481</v>
      </c>
      <c r="D324" s="41" t="s">
        <v>1555</v>
      </c>
      <c r="E324" s="40" t="s">
        <v>1419</v>
      </c>
      <c r="F324" s="40" t="s">
        <v>819</v>
      </c>
      <c r="G324" s="40" t="s">
        <v>135</v>
      </c>
    </row>
    <row r="325" spans="1:7" ht="18" customHeight="1" x14ac:dyDescent="0.3">
      <c r="A325" s="40" t="s">
        <v>1554</v>
      </c>
      <c r="B325" s="40" t="s">
        <v>1422</v>
      </c>
      <c r="C325" s="42" t="s">
        <v>652</v>
      </c>
      <c r="D325" s="41" t="s">
        <v>1553</v>
      </c>
      <c r="E325" s="40" t="s">
        <v>1419</v>
      </c>
      <c r="F325" s="40" t="s">
        <v>819</v>
      </c>
      <c r="G325" s="40" t="s">
        <v>961</v>
      </c>
    </row>
    <row r="326" spans="1:7" ht="18" customHeight="1" x14ac:dyDescent="0.3">
      <c r="A326" s="40" t="s">
        <v>1552</v>
      </c>
      <c r="B326" s="40" t="s">
        <v>1422</v>
      </c>
      <c r="C326" s="42" t="s">
        <v>1500</v>
      </c>
      <c r="D326" s="41" t="s">
        <v>1551</v>
      </c>
      <c r="E326" s="40" t="s">
        <v>1419</v>
      </c>
      <c r="F326" s="40" t="s">
        <v>819</v>
      </c>
      <c r="G326" s="40" t="s">
        <v>115</v>
      </c>
    </row>
    <row r="327" spans="1:7" ht="18" customHeight="1" x14ac:dyDescent="0.3">
      <c r="A327" s="40" t="s">
        <v>1550</v>
      </c>
      <c r="B327" s="40" t="s">
        <v>1422</v>
      </c>
      <c r="C327" s="42" t="s">
        <v>1549</v>
      </c>
      <c r="D327" s="41" t="s">
        <v>1548</v>
      </c>
      <c r="E327" s="40" t="s">
        <v>1419</v>
      </c>
      <c r="F327" s="40" t="s">
        <v>819</v>
      </c>
      <c r="G327" s="40" t="s">
        <v>1547</v>
      </c>
    </row>
    <row r="328" spans="1:7" ht="18" customHeight="1" x14ac:dyDescent="0.3">
      <c r="A328" s="40" t="s">
        <v>1546</v>
      </c>
      <c r="B328" s="40" t="s">
        <v>1422</v>
      </c>
      <c r="C328" s="42" t="s">
        <v>1545</v>
      </c>
      <c r="D328" s="41" t="s">
        <v>1544</v>
      </c>
      <c r="E328" s="40" t="s">
        <v>1419</v>
      </c>
      <c r="F328" s="40" t="s">
        <v>819</v>
      </c>
      <c r="G328" s="40" t="s">
        <v>135</v>
      </c>
    </row>
    <row r="329" spans="1:7" ht="18" customHeight="1" x14ac:dyDescent="0.3">
      <c r="A329" s="40" t="s">
        <v>1541</v>
      </c>
      <c r="B329" s="40" t="s">
        <v>1422</v>
      </c>
      <c r="C329" s="42" t="s">
        <v>1498</v>
      </c>
      <c r="D329" s="41" t="s">
        <v>1543</v>
      </c>
      <c r="E329" s="40" t="s">
        <v>1419</v>
      </c>
      <c r="F329" s="40" t="s">
        <v>819</v>
      </c>
      <c r="G329" s="40" t="s">
        <v>898</v>
      </c>
    </row>
    <row r="330" spans="1:7" ht="18" customHeight="1" x14ac:dyDescent="0.3">
      <c r="A330" s="40" t="s">
        <v>1541</v>
      </c>
      <c r="B330" s="40" t="s">
        <v>1422</v>
      </c>
      <c r="C330" s="42" t="s">
        <v>55</v>
      </c>
      <c r="D330" s="41" t="s">
        <v>1542</v>
      </c>
      <c r="E330" s="40" t="s">
        <v>1419</v>
      </c>
      <c r="F330" s="40" t="s">
        <v>819</v>
      </c>
      <c r="G330" s="40" t="s">
        <v>56</v>
      </c>
    </row>
    <row r="331" spans="1:7" ht="18" customHeight="1" x14ac:dyDescent="0.3">
      <c r="A331" s="40" t="s">
        <v>1541</v>
      </c>
      <c r="B331" s="40" t="s">
        <v>1422</v>
      </c>
      <c r="C331" s="42" t="s">
        <v>55</v>
      </c>
      <c r="D331" s="41" t="s">
        <v>1540</v>
      </c>
      <c r="E331" s="40" t="s">
        <v>1419</v>
      </c>
      <c r="F331" s="40" t="s">
        <v>819</v>
      </c>
      <c r="G331" s="40" t="s">
        <v>56</v>
      </c>
    </row>
    <row r="332" spans="1:7" ht="18" customHeight="1" x14ac:dyDescent="0.3">
      <c r="A332" s="40" t="s">
        <v>1538</v>
      </c>
      <c r="B332" s="40" t="s">
        <v>1422</v>
      </c>
      <c r="C332" s="42" t="s">
        <v>55</v>
      </c>
      <c r="D332" s="41" t="s">
        <v>1539</v>
      </c>
      <c r="E332" s="40" t="s">
        <v>1419</v>
      </c>
      <c r="F332" s="40" t="s">
        <v>819</v>
      </c>
      <c r="G332" s="40" t="s">
        <v>56</v>
      </c>
    </row>
    <row r="333" spans="1:7" ht="18" customHeight="1" x14ac:dyDescent="0.3">
      <c r="A333" s="40" t="s">
        <v>1538</v>
      </c>
      <c r="B333" s="40" t="s">
        <v>1422</v>
      </c>
      <c r="C333" s="42" t="s">
        <v>55</v>
      </c>
      <c r="D333" s="41" t="s">
        <v>1537</v>
      </c>
      <c r="E333" s="40" t="s">
        <v>1419</v>
      </c>
      <c r="F333" s="40" t="s">
        <v>819</v>
      </c>
      <c r="G333" s="40" t="s">
        <v>56</v>
      </c>
    </row>
    <row r="334" spans="1:7" ht="18" customHeight="1" x14ac:dyDescent="0.3">
      <c r="A334" s="40" t="s">
        <v>1534</v>
      </c>
      <c r="B334" s="40" t="s">
        <v>1422</v>
      </c>
      <c r="C334" s="42" t="s">
        <v>1536</v>
      </c>
      <c r="D334" s="41" t="s">
        <v>1496</v>
      </c>
      <c r="E334" s="40" t="s">
        <v>1419</v>
      </c>
      <c r="F334" s="40" t="s">
        <v>819</v>
      </c>
      <c r="G334" s="40" t="s">
        <v>1535</v>
      </c>
    </row>
    <row r="335" spans="1:7" ht="18" customHeight="1" x14ac:dyDescent="0.3">
      <c r="A335" s="40" t="s">
        <v>1534</v>
      </c>
      <c r="B335" s="40" t="s">
        <v>1422</v>
      </c>
      <c r="C335" s="42" t="s">
        <v>1500</v>
      </c>
      <c r="D335" s="41" t="s">
        <v>1533</v>
      </c>
      <c r="E335" s="40" t="s">
        <v>1419</v>
      </c>
      <c r="F335" s="40" t="s">
        <v>819</v>
      </c>
      <c r="G335" s="40" t="s">
        <v>115</v>
      </c>
    </row>
    <row r="336" spans="1:7" ht="18" customHeight="1" x14ac:dyDescent="0.3">
      <c r="A336" s="40" t="s">
        <v>1532</v>
      </c>
      <c r="B336" s="40" t="s">
        <v>1422</v>
      </c>
      <c r="C336" s="42" t="s">
        <v>1481</v>
      </c>
      <c r="D336" s="41" t="s">
        <v>1531</v>
      </c>
      <c r="E336" s="40" t="s">
        <v>1419</v>
      </c>
      <c r="F336" s="40" t="s">
        <v>819</v>
      </c>
      <c r="G336" s="40" t="s">
        <v>135</v>
      </c>
    </row>
    <row r="337" spans="1:7" ht="18" customHeight="1" x14ac:dyDescent="0.3">
      <c r="A337" s="40" t="s">
        <v>1530</v>
      </c>
      <c r="B337" s="40" t="s">
        <v>1422</v>
      </c>
      <c r="C337" s="42" t="s">
        <v>1500</v>
      </c>
      <c r="D337" s="41" t="s">
        <v>1529</v>
      </c>
      <c r="E337" s="40" t="s">
        <v>1419</v>
      </c>
      <c r="F337" s="40" t="s">
        <v>819</v>
      </c>
      <c r="G337" s="40" t="s">
        <v>115</v>
      </c>
    </row>
    <row r="338" spans="1:7" ht="18" customHeight="1" x14ac:dyDescent="0.3">
      <c r="A338" s="40" t="s">
        <v>1528</v>
      </c>
      <c r="B338" s="40" t="s">
        <v>1422</v>
      </c>
      <c r="C338" s="42" t="s">
        <v>1498</v>
      </c>
      <c r="D338" s="41" t="s">
        <v>1527</v>
      </c>
      <c r="E338" s="40" t="s">
        <v>1419</v>
      </c>
      <c r="F338" s="40" t="s">
        <v>819</v>
      </c>
      <c r="G338" s="40" t="s">
        <v>898</v>
      </c>
    </row>
    <row r="339" spans="1:7" ht="18" customHeight="1" x14ac:dyDescent="0.3">
      <c r="A339" s="40" t="s">
        <v>1526</v>
      </c>
      <c r="B339" s="40" t="s">
        <v>1422</v>
      </c>
      <c r="C339" s="42" t="s">
        <v>608</v>
      </c>
      <c r="D339" s="41" t="s">
        <v>1525</v>
      </c>
      <c r="E339" s="40" t="s">
        <v>1419</v>
      </c>
      <c r="F339" s="40" t="s">
        <v>819</v>
      </c>
      <c r="G339" s="40" t="s">
        <v>148</v>
      </c>
    </row>
    <row r="340" spans="1:7" ht="18" customHeight="1" x14ac:dyDescent="0.3">
      <c r="A340" s="40" t="s">
        <v>1523</v>
      </c>
      <c r="B340" s="40" t="s">
        <v>1422</v>
      </c>
      <c r="C340" s="42" t="s">
        <v>1495</v>
      </c>
      <c r="D340" s="41" t="s">
        <v>1524</v>
      </c>
      <c r="E340" s="40" t="s">
        <v>1419</v>
      </c>
      <c r="F340" s="40" t="s">
        <v>819</v>
      </c>
      <c r="G340" s="40" t="s">
        <v>861</v>
      </c>
    </row>
    <row r="341" spans="1:7" ht="18" customHeight="1" x14ac:dyDescent="0.3">
      <c r="A341" s="40" t="s">
        <v>1523</v>
      </c>
      <c r="B341" s="40" t="s">
        <v>1422</v>
      </c>
      <c r="C341" s="42" t="s">
        <v>652</v>
      </c>
      <c r="D341" s="41" t="s">
        <v>1522</v>
      </c>
      <c r="E341" s="40" t="s">
        <v>1419</v>
      </c>
      <c r="F341" s="40" t="s">
        <v>819</v>
      </c>
      <c r="G341" s="40" t="s">
        <v>961</v>
      </c>
    </row>
    <row r="342" spans="1:7" ht="18" customHeight="1" x14ac:dyDescent="0.3">
      <c r="A342" s="40" t="s">
        <v>1521</v>
      </c>
      <c r="B342" s="40" t="s">
        <v>1422</v>
      </c>
      <c r="C342" s="42" t="s">
        <v>1481</v>
      </c>
      <c r="D342" s="41" t="s">
        <v>1520</v>
      </c>
      <c r="E342" s="40" t="s">
        <v>1419</v>
      </c>
      <c r="F342" s="40" t="s">
        <v>819</v>
      </c>
      <c r="G342" s="40" t="s">
        <v>135</v>
      </c>
    </row>
    <row r="343" spans="1:7" ht="18" customHeight="1" x14ac:dyDescent="0.3">
      <c r="A343" s="40" t="s">
        <v>1517</v>
      </c>
      <c r="B343" s="40" t="s">
        <v>1422</v>
      </c>
      <c r="C343" s="42" t="s">
        <v>1500</v>
      </c>
      <c r="D343" s="41" t="s">
        <v>1519</v>
      </c>
      <c r="E343" s="40" t="s">
        <v>1419</v>
      </c>
      <c r="F343" s="40" t="s">
        <v>819</v>
      </c>
      <c r="G343" s="40" t="s">
        <v>115</v>
      </c>
    </row>
    <row r="344" spans="1:7" ht="18" customHeight="1" x14ac:dyDescent="0.3">
      <c r="A344" s="40" t="s">
        <v>1517</v>
      </c>
      <c r="B344" s="40" t="s">
        <v>1422</v>
      </c>
      <c r="C344" s="42" t="s">
        <v>1500</v>
      </c>
      <c r="D344" s="41" t="s">
        <v>1518</v>
      </c>
      <c r="E344" s="40" t="s">
        <v>1419</v>
      </c>
      <c r="F344" s="40" t="s">
        <v>819</v>
      </c>
      <c r="G344" s="40" t="s">
        <v>115</v>
      </c>
    </row>
    <row r="345" spans="1:7" ht="18" customHeight="1" x14ac:dyDescent="0.3">
      <c r="A345" s="40" t="s">
        <v>1517</v>
      </c>
      <c r="B345" s="40" t="s">
        <v>1422</v>
      </c>
      <c r="C345" s="42" t="s">
        <v>1516</v>
      </c>
      <c r="D345" s="41" t="s">
        <v>1515</v>
      </c>
      <c r="E345" s="40" t="s">
        <v>1419</v>
      </c>
      <c r="F345" s="40" t="s">
        <v>819</v>
      </c>
      <c r="G345" s="40" t="s">
        <v>115</v>
      </c>
    </row>
    <row r="346" spans="1:7" ht="18" customHeight="1" x14ac:dyDescent="0.3">
      <c r="A346" s="40" t="s">
        <v>1514</v>
      </c>
      <c r="B346" s="40" t="s">
        <v>1422</v>
      </c>
      <c r="C346" s="42" t="s">
        <v>1513</v>
      </c>
      <c r="D346" s="41" t="s">
        <v>1512</v>
      </c>
      <c r="E346" s="40" t="s">
        <v>1419</v>
      </c>
      <c r="F346" s="40" t="s">
        <v>819</v>
      </c>
      <c r="G346" s="40" t="s">
        <v>1511</v>
      </c>
    </row>
    <row r="347" spans="1:7" ht="18" customHeight="1" x14ac:dyDescent="0.3">
      <c r="A347" s="40" t="s">
        <v>1510</v>
      </c>
      <c r="B347" s="40" t="s">
        <v>1422</v>
      </c>
      <c r="C347" s="42" t="s">
        <v>1500</v>
      </c>
      <c r="D347" s="41" t="s">
        <v>1509</v>
      </c>
      <c r="E347" s="40" t="s">
        <v>1419</v>
      </c>
      <c r="F347" s="40" t="s">
        <v>819</v>
      </c>
      <c r="G347" s="40" t="s">
        <v>115</v>
      </c>
    </row>
    <row r="348" spans="1:7" ht="18" customHeight="1" x14ac:dyDescent="0.3">
      <c r="A348" s="40" t="s">
        <v>1506</v>
      </c>
      <c r="B348" s="40" t="s">
        <v>1422</v>
      </c>
      <c r="C348" s="42" t="s">
        <v>1508</v>
      </c>
      <c r="D348" s="41" t="s">
        <v>1507</v>
      </c>
      <c r="E348" s="40" t="s">
        <v>1419</v>
      </c>
      <c r="F348" s="40" t="s">
        <v>819</v>
      </c>
      <c r="G348" s="40" t="s">
        <v>220</v>
      </c>
    </row>
    <row r="349" spans="1:7" ht="18" customHeight="1" x14ac:dyDescent="0.3">
      <c r="A349" s="40" t="s">
        <v>1506</v>
      </c>
      <c r="B349" s="40" t="s">
        <v>1422</v>
      </c>
      <c r="C349" s="42" t="s">
        <v>1481</v>
      </c>
      <c r="D349" s="41" t="s">
        <v>1505</v>
      </c>
      <c r="E349" s="40" t="s">
        <v>1419</v>
      </c>
      <c r="F349" s="40" t="s">
        <v>819</v>
      </c>
      <c r="G349" s="40" t="s">
        <v>135</v>
      </c>
    </row>
    <row r="350" spans="1:7" ht="18" customHeight="1" x14ac:dyDescent="0.3">
      <c r="A350" s="40" t="s">
        <v>1504</v>
      </c>
      <c r="B350" s="40" t="s">
        <v>1422</v>
      </c>
      <c r="C350" s="42" t="s">
        <v>1495</v>
      </c>
      <c r="D350" s="41" t="s">
        <v>1503</v>
      </c>
      <c r="E350" s="40" t="s">
        <v>1419</v>
      </c>
      <c r="F350" s="40" t="s">
        <v>819</v>
      </c>
      <c r="G350" s="40" t="s">
        <v>861</v>
      </c>
    </row>
    <row r="351" spans="1:7" ht="18" customHeight="1" x14ac:dyDescent="0.3">
      <c r="A351" s="40" t="s">
        <v>1501</v>
      </c>
      <c r="B351" s="40" t="s">
        <v>1422</v>
      </c>
      <c r="C351" s="42" t="s">
        <v>1500</v>
      </c>
      <c r="D351" s="41" t="s">
        <v>1502</v>
      </c>
      <c r="E351" s="40" t="s">
        <v>1419</v>
      </c>
      <c r="F351" s="40" t="s">
        <v>819</v>
      </c>
      <c r="G351" s="40" t="s">
        <v>115</v>
      </c>
    </row>
    <row r="352" spans="1:7" ht="18" customHeight="1" x14ac:dyDescent="0.3">
      <c r="A352" s="40" t="s">
        <v>1501</v>
      </c>
      <c r="B352" s="40" t="s">
        <v>1422</v>
      </c>
      <c r="C352" s="42" t="s">
        <v>1500</v>
      </c>
      <c r="D352" s="41" t="s">
        <v>1499</v>
      </c>
      <c r="E352" s="40" t="s">
        <v>1419</v>
      </c>
      <c r="F352" s="40" t="s">
        <v>819</v>
      </c>
      <c r="G352" s="40" t="s">
        <v>115</v>
      </c>
    </row>
    <row r="353" spans="1:7" ht="18" customHeight="1" x14ac:dyDescent="0.3">
      <c r="A353" s="40" t="s">
        <v>1491</v>
      </c>
      <c r="B353" s="40" t="s">
        <v>1422</v>
      </c>
      <c r="C353" s="42" t="s">
        <v>1498</v>
      </c>
      <c r="D353" s="41" t="s">
        <v>1497</v>
      </c>
      <c r="E353" s="40" t="s">
        <v>1419</v>
      </c>
      <c r="F353" s="40" t="s">
        <v>819</v>
      </c>
      <c r="G353" s="40" t="s">
        <v>898</v>
      </c>
    </row>
    <row r="354" spans="1:7" ht="18" customHeight="1" x14ac:dyDescent="0.3">
      <c r="A354" s="40" t="s">
        <v>1491</v>
      </c>
      <c r="B354" s="40" t="s">
        <v>1422</v>
      </c>
      <c r="C354" s="42" t="s">
        <v>1495</v>
      </c>
      <c r="D354" s="41" t="s">
        <v>1496</v>
      </c>
      <c r="E354" s="40" t="s">
        <v>1419</v>
      </c>
      <c r="F354" s="40" t="s">
        <v>819</v>
      </c>
      <c r="G354" s="40" t="s">
        <v>861</v>
      </c>
    </row>
    <row r="355" spans="1:7" ht="18" customHeight="1" x14ac:dyDescent="0.3">
      <c r="A355" s="40" t="s">
        <v>1491</v>
      </c>
      <c r="B355" s="40" t="s">
        <v>1422</v>
      </c>
      <c r="C355" s="42" t="s">
        <v>1495</v>
      </c>
      <c r="D355" s="41" t="s">
        <v>1494</v>
      </c>
      <c r="E355" s="40" t="s">
        <v>1419</v>
      </c>
      <c r="F355" s="40" t="s">
        <v>819</v>
      </c>
      <c r="G355" s="40" t="s">
        <v>861</v>
      </c>
    </row>
    <row r="356" spans="1:7" ht="18" customHeight="1" x14ac:dyDescent="0.3">
      <c r="A356" s="40" t="s">
        <v>1491</v>
      </c>
      <c r="B356" s="40" t="s">
        <v>1422</v>
      </c>
      <c r="C356" s="42" t="s">
        <v>1493</v>
      </c>
      <c r="D356" s="41" t="s">
        <v>1492</v>
      </c>
      <c r="E356" s="40" t="s">
        <v>1419</v>
      </c>
      <c r="F356" s="40" t="s">
        <v>819</v>
      </c>
      <c r="G356" s="40" t="s">
        <v>861</v>
      </c>
    </row>
    <row r="357" spans="1:7" ht="18" customHeight="1" x14ac:dyDescent="0.3">
      <c r="A357" s="40" t="s">
        <v>1491</v>
      </c>
      <c r="B357" s="40" t="s">
        <v>1422</v>
      </c>
      <c r="C357" s="42" t="s">
        <v>608</v>
      </c>
      <c r="D357" s="41" t="s">
        <v>1490</v>
      </c>
      <c r="E357" s="40" t="s">
        <v>1419</v>
      </c>
      <c r="F357" s="40" t="s">
        <v>819</v>
      </c>
      <c r="G357" s="40" t="s">
        <v>148</v>
      </c>
    </row>
    <row r="358" spans="1:7" ht="18" customHeight="1" x14ac:dyDescent="0.3">
      <c r="A358" s="40" t="s">
        <v>1488</v>
      </c>
      <c r="B358" s="40" t="s">
        <v>1422</v>
      </c>
      <c r="C358" s="42" t="s">
        <v>80</v>
      </c>
      <c r="D358" s="41" t="s">
        <v>1489</v>
      </c>
      <c r="E358" s="40" t="s">
        <v>1419</v>
      </c>
      <c r="F358" s="40" t="s">
        <v>819</v>
      </c>
      <c r="G358" s="40" t="s">
        <v>81</v>
      </c>
    </row>
    <row r="359" spans="1:7" ht="18" customHeight="1" x14ac:dyDescent="0.3">
      <c r="A359" s="40" t="s">
        <v>1488</v>
      </c>
      <c r="B359" s="40" t="s">
        <v>1422</v>
      </c>
      <c r="C359" s="42" t="s">
        <v>652</v>
      </c>
      <c r="D359" s="41" t="s">
        <v>1487</v>
      </c>
      <c r="E359" s="40" t="s">
        <v>1419</v>
      </c>
      <c r="F359" s="40" t="s">
        <v>819</v>
      </c>
      <c r="G359" s="40" t="s">
        <v>961</v>
      </c>
    </row>
    <row r="360" spans="1:7" ht="18" customHeight="1" x14ac:dyDescent="0.3">
      <c r="A360" s="40" t="s">
        <v>1486</v>
      </c>
      <c r="B360" s="40" t="s">
        <v>1422</v>
      </c>
      <c r="C360" s="42" t="s">
        <v>1485</v>
      </c>
      <c r="D360" s="41" t="s">
        <v>1484</v>
      </c>
      <c r="E360" s="40" t="s">
        <v>1419</v>
      </c>
      <c r="F360" s="40" t="s">
        <v>819</v>
      </c>
      <c r="G360" s="40" t="s">
        <v>135</v>
      </c>
    </row>
    <row r="361" spans="1:7" ht="18" customHeight="1" x14ac:dyDescent="0.3">
      <c r="A361" s="40" t="s">
        <v>1476</v>
      </c>
      <c r="B361" s="40" t="s">
        <v>1422</v>
      </c>
      <c r="C361" s="42" t="s">
        <v>1481</v>
      </c>
      <c r="D361" s="41" t="s">
        <v>1483</v>
      </c>
      <c r="E361" s="40" t="s">
        <v>1419</v>
      </c>
      <c r="F361" s="40" t="s">
        <v>1432</v>
      </c>
      <c r="G361" s="40" t="s">
        <v>135</v>
      </c>
    </row>
    <row r="362" spans="1:7" ht="18" customHeight="1" x14ac:dyDescent="0.3">
      <c r="A362" s="40" t="s">
        <v>1482</v>
      </c>
      <c r="B362" s="40" t="s">
        <v>1422</v>
      </c>
      <c r="C362" s="42" t="s">
        <v>1481</v>
      </c>
      <c r="D362" s="41" t="s">
        <v>1480</v>
      </c>
      <c r="E362" s="40" t="s">
        <v>1419</v>
      </c>
      <c r="F362" s="40" t="s">
        <v>1432</v>
      </c>
      <c r="G362" s="40" t="s">
        <v>135</v>
      </c>
    </row>
    <row r="363" spans="1:7" ht="18" customHeight="1" x14ac:dyDescent="0.3">
      <c r="A363" s="40" t="s">
        <v>1476</v>
      </c>
      <c r="B363" s="40" t="s">
        <v>1422</v>
      </c>
      <c r="C363" s="42" t="s">
        <v>1479</v>
      </c>
      <c r="D363" s="41" t="s">
        <v>1478</v>
      </c>
      <c r="E363" s="40" t="s">
        <v>1419</v>
      </c>
      <c r="F363" s="40" t="s">
        <v>819</v>
      </c>
      <c r="G363" s="40" t="s">
        <v>1477</v>
      </c>
    </row>
    <row r="364" spans="1:7" ht="18" customHeight="1" x14ac:dyDescent="0.3">
      <c r="A364" s="40" t="s">
        <v>1476</v>
      </c>
      <c r="B364" s="40" t="s">
        <v>1422</v>
      </c>
      <c r="C364" s="42" t="s">
        <v>1475</v>
      </c>
      <c r="D364" s="41" t="s">
        <v>1474</v>
      </c>
      <c r="E364" s="40" t="s">
        <v>1419</v>
      </c>
      <c r="F364" s="40" t="s">
        <v>819</v>
      </c>
      <c r="G364" s="40" t="s">
        <v>875</v>
      </c>
    </row>
    <row r="365" spans="1:7" ht="18" customHeight="1" x14ac:dyDescent="0.3">
      <c r="A365" s="40" t="s">
        <v>1473</v>
      </c>
      <c r="B365" s="40" t="s">
        <v>1413</v>
      </c>
      <c r="C365" s="42" t="s">
        <v>1444</v>
      </c>
      <c r="D365" s="41" t="s">
        <v>1443</v>
      </c>
      <c r="E365" s="40" t="s">
        <v>1411</v>
      </c>
      <c r="F365" s="40" t="s">
        <v>819</v>
      </c>
      <c r="G365" s="40" t="s">
        <v>1442</v>
      </c>
    </row>
    <row r="366" spans="1:7" ht="18" customHeight="1" x14ac:dyDescent="0.3">
      <c r="A366" s="40" t="s">
        <v>1472</v>
      </c>
      <c r="B366" s="40" t="s">
        <v>1413</v>
      </c>
      <c r="C366" s="42" t="s">
        <v>831</v>
      </c>
      <c r="D366" s="41" t="s">
        <v>1435</v>
      </c>
      <c r="E366" s="40" t="s">
        <v>1411</v>
      </c>
      <c r="F366" s="40" t="s">
        <v>819</v>
      </c>
      <c r="G366" s="40" t="s">
        <v>830</v>
      </c>
    </row>
    <row r="367" spans="1:7" ht="18" customHeight="1" x14ac:dyDescent="0.3">
      <c r="A367" s="40" t="s">
        <v>1471</v>
      </c>
      <c r="B367" s="40" t="s">
        <v>1413</v>
      </c>
      <c r="C367" s="42" t="s">
        <v>652</v>
      </c>
      <c r="D367" s="41" t="s">
        <v>1435</v>
      </c>
      <c r="E367" s="40" t="s">
        <v>1411</v>
      </c>
      <c r="F367" s="40" t="s">
        <v>819</v>
      </c>
      <c r="G367" s="40" t="s">
        <v>961</v>
      </c>
    </row>
    <row r="368" spans="1:7" ht="18" customHeight="1" x14ac:dyDescent="0.3">
      <c r="A368" s="40" t="s">
        <v>1470</v>
      </c>
      <c r="B368" s="40" t="s">
        <v>1413</v>
      </c>
      <c r="C368" s="42" t="s">
        <v>1267</v>
      </c>
      <c r="D368" s="41" t="s">
        <v>1469</v>
      </c>
      <c r="E368" s="40" t="s">
        <v>1411</v>
      </c>
      <c r="F368" s="40" t="s">
        <v>819</v>
      </c>
      <c r="G368" s="40" t="s">
        <v>1266</v>
      </c>
    </row>
    <row r="369" spans="1:7" ht="18" customHeight="1" x14ac:dyDescent="0.3">
      <c r="A369" s="40" t="s">
        <v>1468</v>
      </c>
      <c r="B369" s="40" t="s">
        <v>1413</v>
      </c>
      <c r="C369" s="42" t="s">
        <v>1267</v>
      </c>
      <c r="D369" s="41" t="s">
        <v>1467</v>
      </c>
      <c r="E369" s="40" t="s">
        <v>1411</v>
      </c>
      <c r="F369" s="40" t="s">
        <v>819</v>
      </c>
      <c r="G369" s="40" t="s">
        <v>1266</v>
      </c>
    </row>
    <row r="370" spans="1:7" ht="18" customHeight="1" x14ac:dyDescent="0.3">
      <c r="A370" s="40" t="s">
        <v>1462</v>
      </c>
      <c r="B370" s="40" t="s">
        <v>1413</v>
      </c>
      <c r="C370" s="42" t="s">
        <v>627</v>
      </c>
      <c r="D370" s="41" t="s">
        <v>1466</v>
      </c>
      <c r="E370" s="40" t="s">
        <v>1411</v>
      </c>
      <c r="F370" s="40" t="s">
        <v>819</v>
      </c>
      <c r="G370" s="40" t="s">
        <v>1457</v>
      </c>
    </row>
    <row r="371" spans="1:7" ht="18" customHeight="1" x14ac:dyDescent="0.3">
      <c r="A371" s="40" t="s">
        <v>1462</v>
      </c>
      <c r="B371" s="40" t="s">
        <v>1413</v>
      </c>
      <c r="C371" s="42" t="s">
        <v>1465</v>
      </c>
      <c r="D371" s="41" t="s">
        <v>1464</v>
      </c>
      <c r="E371" s="40" t="s">
        <v>1411</v>
      </c>
      <c r="F371" s="40" t="s">
        <v>819</v>
      </c>
      <c r="G371" s="40" t="s">
        <v>1463</v>
      </c>
    </row>
    <row r="372" spans="1:7" ht="18" customHeight="1" x14ac:dyDescent="0.3">
      <c r="A372" s="40" t="s">
        <v>1462</v>
      </c>
      <c r="B372" s="40" t="s">
        <v>1413</v>
      </c>
      <c r="C372" s="42" t="s">
        <v>625</v>
      </c>
      <c r="D372" s="41" t="s">
        <v>1461</v>
      </c>
      <c r="E372" s="40" t="s">
        <v>1411</v>
      </c>
      <c r="F372" s="40" t="s">
        <v>819</v>
      </c>
      <c r="G372" s="40" t="s">
        <v>1460</v>
      </c>
    </row>
    <row r="373" spans="1:7" ht="18" customHeight="1" x14ac:dyDescent="0.3">
      <c r="A373" s="40" t="s">
        <v>1459</v>
      </c>
      <c r="B373" s="40" t="s">
        <v>1413</v>
      </c>
      <c r="C373" s="42" t="s">
        <v>831</v>
      </c>
      <c r="D373" s="41" t="s">
        <v>1435</v>
      </c>
      <c r="E373" s="40" t="s">
        <v>1411</v>
      </c>
      <c r="F373" s="40" t="s">
        <v>819</v>
      </c>
      <c r="G373" s="40" t="s">
        <v>830</v>
      </c>
    </row>
    <row r="374" spans="1:7" ht="18" customHeight="1" x14ac:dyDescent="0.3">
      <c r="A374" s="40" t="s">
        <v>1459</v>
      </c>
      <c r="B374" s="40" t="s">
        <v>1413</v>
      </c>
      <c r="C374" s="42" t="s">
        <v>627</v>
      </c>
      <c r="D374" s="41" t="s">
        <v>1458</v>
      </c>
      <c r="E374" s="40" t="s">
        <v>1411</v>
      </c>
      <c r="F374" s="40" t="s">
        <v>819</v>
      </c>
      <c r="G374" s="40" t="s">
        <v>1457</v>
      </c>
    </row>
    <row r="375" spans="1:7" ht="18" customHeight="1" x14ac:dyDescent="0.3">
      <c r="A375" s="40" t="s">
        <v>1456</v>
      </c>
      <c r="B375" s="40" t="s">
        <v>1413</v>
      </c>
      <c r="C375" s="42" t="s">
        <v>1444</v>
      </c>
      <c r="D375" s="41" t="s">
        <v>1443</v>
      </c>
      <c r="E375" s="40" t="s">
        <v>1411</v>
      </c>
      <c r="F375" s="40" t="s">
        <v>819</v>
      </c>
      <c r="G375" s="40" t="s">
        <v>1442</v>
      </c>
    </row>
    <row r="376" spans="1:7" ht="18" customHeight="1" x14ac:dyDescent="0.3">
      <c r="A376" s="40" t="s">
        <v>1455</v>
      </c>
      <c r="B376" s="40" t="s">
        <v>1413</v>
      </c>
      <c r="C376" s="42" t="s">
        <v>1452</v>
      </c>
      <c r="D376" s="41" t="s">
        <v>1454</v>
      </c>
      <c r="E376" s="40" t="s">
        <v>1411</v>
      </c>
      <c r="F376" s="40" t="s">
        <v>819</v>
      </c>
      <c r="G376" s="40" t="s">
        <v>135</v>
      </c>
    </row>
    <row r="377" spans="1:7" ht="18" customHeight="1" x14ac:dyDescent="0.3">
      <c r="A377" s="40" t="s">
        <v>1453</v>
      </c>
      <c r="B377" s="40" t="s">
        <v>1413</v>
      </c>
      <c r="C377" s="42" t="s">
        <v>1452</v>
      </c>
      <c r="D377" s="41" t="s">
        <v>1451</v>
      </c>
      <c r="E377" s="40" t="s">
        <v>1411</v>
      </c>
      <c r="F377" s="40" t="s">
        <v>819</v>
      </c>
      <c r="G377" s="40" t="s">
        <v>135</v>
      </c>
    </row>
    <row r="378" spans="1:7" ht="18" customHeight="1" x14ac:dyDescent="0.3">
      <c r="A378" s="40" t="s">
        <v>1445</v>
      </c>
      <c r="B378" s="40" t="s">
        <v>1413</v>
      </c>
      <c r="C378" s="42" t="s">
        <v>1447</v>
      </c>
      <c r="D378" s="41" t="s">
        <v>1450</v>
      </c>
      <c r="E378" s="40" t="s">
        <v>1411</v>
      </c>
      <c r="F378" s="40" t="s">
        <v>819</v>
      </c>
      <c r="G378" s="40" t="s">
        <v>1300</v>
      </c>
    </row>
    <row r="379" spans="1:7" ht="18" customHeight="1" x14ac:dyDescent="0.3">
      <c r="A379" s="40" t="s">
        <v>1445</v>
      </c>
      <c r="B379" s="40" t="s">
        <v>1413</v>
      </c>
      <c r="C379" s="42" t="s">
        <v>1447</v>
      </c>
      <c r="D379" s="41" t="s">
        <v>1446</v>
      </c>
      <c r="E379" s="40" t="s">
        <v>1411</v>
      </c>
      <c r="F379" s="40" t="s">
        <v>819</v>
      </c>
      <c r="G379" s="40" t="s">
        <v>1300</v>
      </c>
    </row>
    <row r="380" spans="1:7" ht="18" customHeight="1" x14ac:dyDescent="0.3">
      <c r="A380" s="40" t="s">
        <v>1445</v>
      </c>
      <c r="B380" s="40" t="s">
        <v>1413</v>
      </c>
      <c r="C380" s="42" t="s">
        <v>1449</v>
      </c>
      <c r="D380" s="41" t="s">
        <v>1448</v>
      </c>
      <c r="E380" s="40" t="s">
        <v>1411</v>
      </c>
      <c r="F380" s="40" t="s">
        <v>819</v>
      </c>
      <c r="G380" s="40" t="s">
        <v>1300</v>
      </c>
    </row>
    <row r="381" spans="1:7" ht="18" customHeight="1" x14ac:dyDescent="0.3">
      <c r="A381" s="40" t="s">
        <v>1445</v>
      </c>
      <c r="B381" s="40" t="s">
        <v>1413</v>
      </c>
      <c r="C381" s="42" t="s">
        <v>1447</v>
      </c>
      <c r="D381" s="41" t="s">
        <v>1446</v>
      </c>
      <c r="E381" s="40" t="s">
        <v>1411</v>
      </c>
      <c r="F381" s="40" t="s">
        <v>819</v>
      </c>
      <c r="G381" s="40" t="s">
        <v>1300</v>
      </c>
    </row>
    <row r="382" spans="1:7" ht="18" customHeight="1" x14ac:dyDescent="0.3">
      <c r="A382" s="40" t="s">
        <v>1445</v>
      </c>
      <c r="B382" s="40" t="s">
        <v>1413</v>
      </c>
      <c r="C382" s="42" t="s">
        <v>1447</v>
      </c>
      <c r="D382" s="41" t="s">
        <v>1446</v>
      </c>
      <c r="E382" s="40" t="s">
        <v>1411</v>
      </c>
      <c r="F382" s="40" t="s">
        <v>819</v>
      </c>
      <c r="G382" s="40" t="s">
        <v>1300</v>
      </c>
    </row>
    <row r="383" spans="1:7" ht="18" customHeight="1" x14ac:dyDescent="0.3">
      <c r="A383" s="40" t="s">
        <v>1445</v>
      </c>
      <c r="B383" s="40" t="s">
        <v>1413</v>
      </c>
      <c r="C383" s="42" t="s">
        <v>1444</v>
      </c>
      <c r="D383" s="41" t="s">
        <v>1443</v>
      </c>
      <c r="E383" s="40" t="s">
        <v>1411</v>
      </c>
      <c r="F383" s="40" t="s">
        <v>819</v>
      </c>
      <c r="G383" s="40" t="s">
        <v>1442</v>
      </c>
    </row>
    <row r="384" spans="1:7" ht="18" customHeight="1" x14ac:dyDescent="0.3">
      <c r="A384" s="40" t="s">
        <v>1441</v>
      </c>
      <c r="B384" s="40" t="s">
        <v>1413</v>
      </c>
      <c r="C384" s="42" t="s">
        <v>1444</v>
      </c>
      <c r="D384" s="41" t="s">
        <v>1443</v>
      </c>
      <c r="E384" s="40" t="s">
        <v>1411</v>
      </c>
      <c r="F384" s="40" t="s">
        <v>819</v>
      </c>
      <c r="G384" s="40" t="s">
        <v>1442</v>
      </c>
    </row>
    <row r="385" spans="1:7" ht="18" customHeight="1" x14ac:dyDescent="0.3">
      <c r="A385" s="40" t="s">
        <v>1441</v>
      </c>
      <c r="B385" s="40" t="s">
        <v>1413</v>
      </c>
      <c r="C385" s="42" t="s">
        <v>1267</v>
      </c>
      <c r="D385" s="41" t="s">
        <v>1440</v>
      </c>
      <c r="E385" s="40" t="s">
        <v>1411</v>
      </c>
      <c r="F385" s="40" t="s">
        <v>819</v>
      </c>
      <c r="G385" s="40" t="s">
        <v>1266</v>
      </c>
    </row>
    <row r="386" spans="1:7" ht="18" customHeight="1" x14ac:dyDescent="0.3">
      <c r="A386" s="40" t="s">
        <v>1439</v>
      </c>
      <c r="B386" s="40" t="s">
        <v>1413</v>
      </c>
      <c r="C386" s="42" t="s">
        <v>1438</v>
      </c>
      <c r="D386" s="41" t="s">
        <v>1437</v>
      </c>
      <c r="E386" s="40" t="s">
        <v>1411</v>
      </c>
      <c r="F386" s="40" t="s">
        <v>819</v>
      </c>
      <c r="G386" s="40" t="s">
        <v>1252</v>
      </c>
    </row>
    <row r="387" spans="1:7" ht="18" customHeight="1" x14ac:dyDescent="0.3">
      <c r="A387" s="40" t="s">
        <v>1436</v>
      </c>
      <c r="B387" s="40" t="s">
        <v>1413</v>
      </c>
      <c r="C387" s="42" t="s">
        <v>652</v>
      </c>
      <c r="D387" s="41" t="s">
        <v>1435</v>
      </c>
      <c r="E387" s="40" t="s">
        <v>1411</v>
      </c>
      <c r="F387" s="40" t="s">
        <v>819</v>
      </c>
      <c r="G387" s="40" t="s">
        <v>961</v>
      </c>
    </row>
    <row r="388" spans="1:7" ht="18" customHeight="1" x14ac:dyDescent="0.3">
      <c r="A388" s="40" t="s">
        <v>1434</v>
      </c>
      <c r="B388" s="40" t="s">
        <v>1422</v>
      </c>
      <c r="C388" s="42" t="s">
        <v>1421</v>
      </c>
      <c r="D388" s="41" t="s">
        <v>1433</v>
      </c>
      <c r="E388" s="40" t="s">
        <v>1419</v>
      </c>
      <c r="F388" s="40" t="s">
        <v>1432</v>
      </c>
      <c r="G388" s="40" t="s">
        <v>1417</v>
      </c>
    </row>
    <row r="389" spans="1:7" ht="18" customHeight="1" x14ac:dyDescent="0.3">
      <c r="A389" s="40" t="s">
        <v>1431</v>
      </c>
      <c r="B389" s="40" t="s">
        <v>1422</v>
      </c>
      <c r="C389" s="42" t="s">
        <v>1421</v>
      </c>
      <c r="D389" s="41" t="s">
        <v>1430</v>
      </c>
      <c r="E389" s="40" t="s">
        <v>1419</v>
      </c>
      <c r="F389" s="40" t="s">
        <v>1429</v>
      </c>
      <c r="G389" s="40" t="s">
        <v>1417</v>
      </c>
    </row>
    <row r="390" spans="1:7" ht="18" customHeight="1" x14ac:dyDescent="0.3">
      <c r="A390" s="40" t="s">
        <v>1428</v>
      </c>
      <c r="B390" s="40" t="s">
        <v>1422</v>
      </c>
      <c r="C390" s="42" t="s">
        <v>1421</v>
      </c>
      <c r="D390" s="41" t="s">
        <v>1427</v>
      </c>
      <c r="E390" s="40" t="s">
        <v>1419</v>
      </c>
      <c r="F390" s="40" t="s">
        <v>819</v>
      </c>
      <c r="G390" s="40" t="s">
        <v>1417</v>
      </c>
    </row>
    <row r="391" spans="1:7" ht="18" customHeight="1" x14ac:dyDescent="0.3">
      <c r="A391" s="40" t="s">
        <v>1426</v>
      </c>
      <c r="B391" s="40" t="s">
        <v>1422</v>
      </c>
      <c r="C391" s="42" t="s">
        <v>1421</v>
      </c>
      <c r="D391" s="41" t="s">
        <v>1425</v>
      </c>
      <c r="E391" s="40" t="s">
        <v>1419</v>
      </c>
      <c r="F391" s="40" t="s">
        <v>819</v>
      </c>
      <c r="G391" s="40" t="s">
        <v>1417</v>
      </c>
    </row>
    <row r="392" spans="1:7" ht="18" customHeight="1" x14ac:dyDescent="0.3">
      <c r="A392" s="40" t="s">
        <v>1423</v>
      </c>
      <c r="B392" s="40" t="s">
        <v>1422</v>
      </c>
      <c r="C392" s="42" t="s">
        <v>1421</v>
      </c>
      <c r="D392" s="41" t="s">
        <v>1424</v>
      </c>
      <c r="E392" s="40" t="s">
        <v>1419</v>
      </c>
      <c r="F392" s="40" t="s">
        <v>819</v>
      </c>
      <c r="G392" s="40" t="s">
        <v>1417</v>
      </c>
    </row>
    <row r="393" spans="1:7" ht="18" customHeight="1" x14ac:dyDescent="0.3">
      <c r="A393" s="40" t="s">
        <v>1423</v>
      </c>
      <c r="B393" s="40" t="s">
        <v>1422</v>
      </c>
      <c r="C393" s="42" t="s">
        <v>1421</v>
      </c>
      <c r="D393" s="41" t="s">
        <v>1420</v>
      </c>
      <c r="E393" s="40" t="s">
        <v>1419</v>
      </c>
      <c r="F393" s="40" t="s">
        <v>1418</v>
      </c>
      <c r="G393" s="40" t="s">
        <v>1417</v>
      </c>
    </row>
    <row r="394" spans="1:7" ht="18" customHeight="1" x14ac:dyDescent="0.3">
      <c r="A394" s="40" t="s">
        <v>1416</v>
      </c>
      <c r="B394" s="40" t="s">
        <v>1413</v>
      </c>
      <c r="C394" s="42" t="s">
        <v>652</v>
      </c>
      <c r="D394" s="41" t="s">
        <v>1415</v>
      </c>
      <c r="E394" s="40" t="s">
        <v>1411</v>
      </c>
      <c r="F394" s="40" t="s">
        <v>819</v>
      </c>
      <c r="G394" s="40" t="s">
        <v>961</v>
      </c>
    </row>
    <row r="395" spans="1:7" ht="18" customHeight="1" x14ac:dyDescent="0.3">
      <c r="A395" s="40" t="s">
        <v>1414</v>
      </c>
      <c r="B395" s="40" t="s">
        <v>1413</v>
      </c>
      <c r="C395" s="42" t="s">
        <v>1267</v>
      </c>
      <c r="D395" s="41" t="s">
        <v>1412</v>
      </c>
      <c r="E395" s="40" t="s">
        <v>1411</v>
      </c>
      <c r="F395" s="40" t="s">
        <v>819</v>
      </c>
      <c r="G395" s="40" t="s">
        <v>1266</v>
      </c>
    </row>
    <row r="396" spans="1:7" ht="18" customHeight="1" x14ac:dyDescent="0.3">
      <c r="A396" s="154" t="s">
        <v>616</v>
      </c>
      <c r="B396" s="154"/>
      <c r="C396" s="40" t="s">
        <v>1410</v>
      </c>
      <c r="D396" s="41" t="s">
        <v>1409</v>
      </c>
      <c r="E396" s="154" t="s">
        <v>39</v>
      </c>
      <c r="F396" s="154"/>
      <c r="G396" s="154"/>
    </row>
    <row r="400" spans="1:7" x14ac:dyDescent="0.3">
      <c r="A400" s="149" t="s">
        <v>1408</v>
      </c>
      <c r="B400" s="150"/>
      <c r="C400" s="150"/>
      <c r="D400" s="150"/>
      <c r="E400" s="150"/>
      <c r="F400" s="150"/>
      <c r="G400" s="150"/>
    </row>
    <row r="401" spans="1:7" x14ac:dyDescent="0.3">
      <c r="A401" s="149" t="s">
        <v>1407</v>
      </c>
      <c r="B401" s="150"/>
      <c r="C401" s="150"/>
      <c r="D401" s="150"/>
      <c r="E401" s="150"/>
      <c r="F401" s="150"/>
      <c r="G401" s="150"/>
    </row>
  </sheetData>
  <mergeCells count="8">
    <mergeCell ref="A400:G400"/>
    <mergeCell ref="A401:G401"/>
    <mergeCell ref="A2:G2"/>
    <mergeCell ref="A4:G4"/>
    <mergeCell ref="A5:G5"/>
    <mergeCell ref="A8:F8"/>
    <mergeCell ref="A396:B396"/>
    <mergeCell ref="E396:G396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939D3E-EADE-48BC-A01F-921F5C964E02}">
  <dimension ref="A1:M230"/>
  <sheetViews>
    <sheetView workbookViewId="0">
      <selection activeCell="O32" sqref="O32"/>
    </sheetView>
  </sheetViews>
  <sheetFormatPr defaultRowHeight="16.5" x14ac:dyDescent="0.3"/>
  <cols>
    <col min="1" max="1" width="11.125" style="36" bestFit="1" customWidth="1"/>
    <col min="2" max="2" width="19.125" style="36" bestFit="1" customWidth="1"/>
    <col min="3" max="3" width="42.875" style="36" bestFit="1" customWidth="1"/>
    <col min="4" max="4" width="13.375" style="36" bestFit="1" customWidth="1"/>
    <col min="5" max="5" width="13.625" style="36" bestFit="1" customWidth="1"/>
    <col min="6" max="6" width="9.25" style="36" bestFit="1" customWidth="1"/>
    <col min="7" max="7" width="5.5" style="36" bestFit="1" customWidth="1"/>
    <col min="8" max="9" width="9.25" style="36" bestFit="1" customWidth="1"/>
    <col min="10" max="10" width="9" style="36"/>
    <col min="11" max="11" width="11.875" style="66" bestFit="1" customWidth="1"/>
    <col min="12" max="12" width="10.875" style="66" bestFit="1" customWidth="1"/>
    <col min="13" max="13" width="11.875" style="36" bestFit="1" customWidth="1"/>
    <col min="14" max="16384" width="9" style="36"/>
  </cols>
  <sheetData>
    <row r="1" spans="1:11" x14ac:dyDescent="0.3">
      <c r="A1" s="38" t="s">
        <v>1406</v>
      </c>
      <c r="B1" s="38" t="s">
        <v>801</v>
      </c>
      <c r="C1" s="38" t="s">
        <v>799</v>
      </c>
      <c r="D1" s="38" t="s">
        <v>798</v>
      </c>
      <c r="E1" s="38" t="s">
        <v>1405</v>
      </c>
      <c r="F1" s="38" t="s">
        <v>1404</v>
      </c>
      <c r="G1" s="38" t="s">
        <v>1403</v>
      </c>
      <c r="H1" s="38" t="s">
        <v>1402</v>
      </c>
      <c r="I1" s="38" t="s">
        <v>1401</v>
      </c>
    </row>
    <row r="2" spans="1:11" x14ac:dyDescent="0.3">
      <c r="A2" s="37" t="s">
        <v>1400</v>
      </c>
      <c r="B2" s="37" t="s">
        <v>826</v>
      </c>
      <c r="C2" s="37" t="s">
        <v>1399</v>
      </c>
      <c r="D2" s="37" t="s">
        <v>1398</v>
      </c>
      <c r="E2" s="37" t="s">
        <v>1397</v>
      </c>
      <c r="F2" s="37" t="s">
        <v>822</v>
      </c>
      <c r="G2" s="37" t="s">
        <v>821</v>
      </c>
      <c r="H2" s="37" t="s">
        <v>1396</v>
      </c>
      <c r="I2" s="37" t="s">
        <v>819</v>
      </c>
      <c r="K2" s="66">
        <f>H2*1</f>
        <v>37300</v>
      </c>
    </row>
    <row r="3" spans="1:11" x14ac:dyDescent="0.3">
      <c r="A3" s="37" t="s">
        <v>1395</v>
      </c>
      <c r="B3" s="37" t="s">
        <v>826</v>
      </c>
      <c r="C3" s="37" t="s">
        <v>1362</v>
      </c>
      <c r="D3" s="37" t="s">
        <v>1361</v>
      </c>
      <c r="E3" s="37" t="s">
        <v>1360</v>
      </c>
      <c r="F3" s="37" t="s">
        <v>822</v>
      </c>
      <c r="G3" s="37" t="s">
        <v>821</v>
      </c>
      <c r="H3" s="37" t="s">
        <v>1394</v>
      </c>
      <c r="I3" s="37" t="s">
        <v>819</v>
      </c>
      <c r="K3" s="66">
        <f t="shared" ref="K3:K66" si="0">H3*1</f>
        <v>206300</v>
      </c>
    </row>
    <row r="4" spans="1:11" x14ac:dyDescent="0.3">
      <c r="A4" s="37" t="s">
        <v>1393</v>
      </c>
      <c r="B4" s="37" t="s">
        <v>826</v>
      </c>
      <c r="C4" s="37" t="s">
        <v>1391</v>
      </c>
      <c r="D4" s="37" t="s">
        <v>1390</v>
      </c>
      <c r="E4" s="37" t="s">
        <v>1389</v>
      </c>
      <c r="F4" s="37" t="s">
        <v>822</v>
      </c>
      <c r="G4" s="37" t="s">
        <v>821</v>
      </c>
      <c r="H4" s="37" t="s">
        <v>1392</v>
      </c>
      <c r="I4" s="37" t="s">
        <v>819</v>
      </c>
      <c r="K4" s="66">
        <f t="shared" si="0"/>
        <v>1100</v>
      </c>
    </row>
    <row r="5" spans="1:11" x14ac:dyDescent="0.3">
      <c r="A5" s="37" t="s">
        <v>1386</v>
      </c>
      <c r="B5" s="37" t="s">
        <v>826</v>
      </c>
      <c r="C5" s="37" t="s">
        <v>1391</v>
      </c>
      <c r="D5" s="37" t="s">
        <v>1390</v>
      </c>
      <c r="E5" s="37" t="s">
        <v>1389</v>
      </c>
      <c r="F5" s="37" t="s">
        <v>822</v>
      </c>
      <c r="G5" s="37" t="s">
        <v>821</v>
      </c>
      <c r="H5" s="37" t="s">
        <v>1388</v>
      </c>
      <c r="I5" s="37" t="s">
        <v>819</v>
      </c>
      <c r="K5" s="66">
        <f t="shared" si="0"/>
        <v>3800</v>
      </c>
    </row>
    <row r="6" spans="1:11" x14ac:dyDescent="0.3">
      <c r="A6" s="37" t="s">
        <v>1386</v>
      </c>
      <c r="B6" s="37" t="s">
        <v>826</v>
      </c>
      <c r="C6" s="37" t="s">
        <v>1362</v>
      </c>
      <c r="D6" s="37" t="s">
        <v>1361</v>
      </c>
      <c r="E6" s="37" t="s">
        <v>1360</v>
      </c>
      <c r="F6" s="37" t="s">
        <v>822</v>
      </c>
      <c r="G6" s="37" t="s">
        <v>821</v>
      </c>
      <c r="H6" s="37" t="s">
        <v>1387</v>
      </c>
      <c r="I6" s="37" t="s">
        <v>819</v>
      </c>
      <c r="K6" s="66">
        <f t="shared" si="0"/>
        <v>900</v>
      </c>
    </row>
    <row r="7" spans="1:11" x14ac:dyDescent="0.3">
      <c r="A7" s="37" t="s">
        <v>1386</v>
      </c>
      <c r="B7" s="37" t="s">
        <v>826</v>
      </c>
      <c r="C7" s="37" t="s">
        <v>1385</v>
      </c>
      <c r="D7" s="37" t="s">
        <v>1384</v>
      </c>
      <c r="E7" s="37" t="s">
        <v>1383</v>
      </c>
      <c r="F7" s="37" t="s">
        <v>822</v>
      </c>
      <c r="G7" s="37" t="s">
        <v>821</v>
      </c>
      <c r="H7" s="37" t="s">
        <v>909</v>
      </c>
      <c r="I7" s="37" t="s">
        <v>819</v>
      </c>
      <c r="K7" s="66">
        <f t="shared" si="0"/>
        <v>16000</v>
      </c>
    </row>
    <row r="8" spans="1:11" x14ac:dyDescent="0.3">
      <c r="A8" s="37" t="s">
        <v>1382</v>
      </c>
      <c r="B8" s="37" t="s">
        <v>826</v>
      </c>
      <c r="C8" s="37" t="s">
        <v>1288</v>
      </c>
      <c r="D8" s="37" t="s">
        <v>1287</v>
      </c>
      <c r="E8" s="37" t="s">
        <v>1286</v>
      </c>
      <c r="F8" s="37" t="s">
        <v>822</v>
      </c>
      <c r="G8" s="37" t="s">
        <v>1086</v>
      </c>
      <c r="H8" s="37" t="s">
        <v>1381</v>
      </c>
      <c r="I8" s="37" t="s">
        <v>819</v>
      </c>
      <c r="K8" s="66">
        <f t="shared" si="0"/>
        <v>2000000</v>
      </c>
    </row>
    <row r="9" spans="1:11" x14ac:dyDescent="0.3">
      <c r="A9" s="37" t="s">
        <v>1380</v>
      </c>
      <c r="B9" s="37" t="s">
        <v>826</v>
      </c>
      <c r="C9" s="37" t="s">
        <v>825</v>
      </c>
      <c r="D9" s="37" t="s">
        <v>824</v>
      </c>
      <c r="E9" s="37" t="s">
        <v>823</v>
      </c>
      <c r="F9" s="37" t="s">
        <v>822</v>
      </c>
      <c r="G9" s="37" t="s">
        <v>821</v>
      </c>
      <c r="H9" s="37" t="s">
        <v>1379</v>
      </c>
      <c r="I9" s="37" t="s">
        <v>819</v>
      </c>
      <c r="K9" s="66">
        <f t="shared" si="0"/>
        <v>135800</v>
      </c>
    </row>
    <row r="10" spans="1:11" x14ac:dyDescent="0.3">
      <c r="A10" s="37" t="s">
        <v>1378</v>
      </c>
      <c r="B10" s="37" t="s">
        <v>826</v>
      </c>
      <c r="C10" s="37" t="s">
        <v>60</v>
      </c>
      <c r="D10" s="37" t="s">
        <v>61</v>
      </c>
      <c r="E10" s="37" t="s">
        <v>1377</v>
      </c>
      <c r="F10" s="37" t="s">
        <v>822</v>
      </c>
      <c r="G10" s="37" t="s">
        <v>821</v>
      </c>
      <c r="H10" s="37" t="s">
        <v>1064</v>
      </c>
      <c r="I10" s="37" t="s">
        <v>819</v>
      </c>
      <c r="K10" s="66">
        <f t="shared" si="0"/>
        <v>64410</v>
      </c>
    </row>
    <row r="11" spans="1:11" x14ac:dyDescent="0.3">
      <c r="A11" s="37" t="s">
        <v>1376</v>
      </c>
      <c r="B11" s="37" t="s">
        <v>826</v>
      </c>
      <c r="C11" s="37" t="s">
        <v>857</v>
      </c>
      <c r="D11" s="37" t="s">
        <v>856</v>
      </c>
      <c r="E11" s="37" t="s">
        <v>855</v>
      </c>
      <c r="F11" s="37" t="s">
        <v>822</v>
      </c>
      <c r="G11" s="37" t="s">
        <v>821</v>
      </c>
      <c r="H11" s="37" t="s">
        <v>1375</v>
      </c>
      <c r="I11" s="37" t="s">
        <v>819</v>
      </c>
      <c r="K11" s="66">
        <f t="shared" si="0"/>
        <v>52010</v>
      </c>
    </row>
    <row r="12" spans="1:11" x14ac:dyDescent="0.3">
      <c r="A12" s="37" t="s">
        <v>1374</v>
      </c>
      <c r="B12" s="37" t="s">
        <v>826</v>
      </c>
      <c r="C12" s="37" t="s">
        <v>886</v>
      </c>
      <c r="D12" s="37" t="s">
        <v>885</v>
      </c>
      <c r="E12" s="37" t="s">
        <v>884</v>
      </c>
      <c r="F12" s="37" t="s">
        <v>822</v>
      </c>
      <c r="G12" s="37" t="s">
        <v>821</v>
      </c>
      <c r="H12" s="37" t="s">
        <v>1373</v>
      </c>
      <c r="I12" s="37" t="s">
        <v>819</v>
      </c>
      <c r="K12" s="66">
        <f t="shared" si="0"/>
        <v>171640</v>
      </c>
    </row>
    <row r="13" spans="1:11" x14ac:dyDescent="0.3">
      <c r="A13" s="37" t="s">
        <v>1372</v>
      </c>
      <c r="B13" s="37" t="s">
        <v>826</v>
      </c>
      <c r="C13" s="37" t="s">
        <v>240</v>
      </c>
      <c r="D13" s="37" t="s">
        <v>241</v>
      </c>
      <c r="E13" s="37" t="s">
        <v>1371</v>
      </c>
      <c r="F13" s="37" t="s">
        <v>822</v>
      </c>
      <c r="G13" s="37" t="s">
        <v>821</v>
      </c>
      <c r="H13" s="37" t="s">
        <v>1370</v>
      </c>
      <c r="I13" s="37" t="s">
        <v>819</v>
      </c>
      <c r="K13" s="66">
        <f t="shared" si="0"/>
        <v>107530</v>
      </c>
    </row>
    <row r="14" spans="1:11" x14ac:dyDescent="0.3">
      <c r="A14" s="37" t="s">
        <v>1369</v>
      </c>
      <c r="B14" s="37" t="s">
        <v>826</v>
      </c>
      <c r="C14" s="37" t="s">
        <v>1368</v>
      </c>
      <c r="D14" s="37" t="s">
        <v>1367</v>
      </c>
      <c r="E14" s="37" t="s">
        <v>1366</v>
      </c>
      <c r="F14" s="37" t="s">
        <v>822</v>
      </c>
      <c r="G14" s="37" t="s">
        <v>821</v>
      </c>
      <c r="H14" s="37" t="s">
        <v>950</v>
      </c>
      <c r="I14" s="37" t="s">
        <v>819</v>
      </c>
      <c r="K14" s="66">
        <f t="shared" si="0"/>
        <v>20000</v>
      </c>
    </row>
    <row r="15" spans="1:11" x14ac:dyDescent="0.3">
      <c r="A15" s="37" t="s">
        <v>1365</v>
      </c>
      <c r="B15" s="37" t="s">
        <v>826</v>
      </c>
      <c r="C15" s="37" t="s">
        <v>1301</v>
      </c>
      <c r="D15" s="37" t="s">
        <v>1300</v>
      </c>
      <c r="E15" s="37" t="s">
        <v>1299</v>
      </c>
      <c r="F15" s="37" t="s">
        <v>822</v>
      </c>
      <c r="G15" s="37" t="s">
        <v>925</v>
      </c>
      <c r="H15" s="37" t="s">
        <v>1364</v>
      </c>
      <c r="I15" s="37" t="s">
        <v>819</v>
      </c>
      <c r="K15" s="66">
        <f t="shared" si="0"/>
        <v>643315</v>
      </c>
    </row>
    <row r="16" spans="1:11" x14ac:dyDescent="0.3">
      <c r="A16" s="37" t="s">
        <v>1363</v>
      </c>
      <c r="B16" s="37" t="s">
        <v>826</v>
      </c>
      <c r="C16" s="37" t="s">
        <v>1362</v>
      </c>
      <c r="D16" s="37" t="s">
        <v>1361</v>
      </c>
      <c r="E16" s="37" t="s">
        <v>1360</v>
      </c>
      <c r="F16" s="37" t="s">
        <v>822</v>
      </c>
      <c r="G16" s="37" t="s">
        <v>821</v>
      </c>
      <c r="H16" s="37" t="s">
        <v>1013</v>
      </c>
      <c r="I16" s="37" t="s">
        <v>819</v>
      </c>
      <c r="K16" s="66">
        <f t="shared" si="0"/>
        <v>3500</v>
      </c>
    </row>
    <row r="17" spans="1:11" x14ac:dyDescent="0.3">
      <c r="A17" s="37" t="s">
        <v>1363</v>
      </c>
      <c r="B17" s="37" t="s">
        <v>826</v>
      </c>
      <c r="C17" s="37" t="s">
        <v>1362</v>
      </c>
      <c r="D17" s="37" t="s">
        <v>1361</v>
      </c>
      <c r="E17" s="37" t="s">
        <v>1360</v>
      </c>
      <c r="F17" s="37" t="s">
        <v>822</v>
      </c>
      <c r="G17" s="37" t="s">
        <v>925</v>
      </c>
      <c r="H17" s="37" t="s">
        <v>1359</v>
      </c>
      <c r="I17" s="37" t="s">
        <v>819</v>
      </c>
      <c r="K17" s="66">
        <f t="shared" si="0"/>
        <v>184000</v>
      </c>
    </row>
    <row r="18" spans="1:11" x14ac:dyDescent="0.3">
      <c r="A18" s="37" t="s">
        <v>1358</v>
      </c>
      <c r="B18" s="37" t="s">
        <v>826</v>
      </c>
      <c r="C18" s="37" t="s">
        <v>1351</v>
      </c>
      <c r="D18" s="37" t="s">
        <v>1252</v>
      </c>
      <c r="E18" s="37" t="s">
        <v>1350</v>
      </c>
      <c r="F18" s="37" t="s">
        <v>822</v>
      </c>
      <c r="G18" s="37" t="s">
        <v>821</v>
      </c>
      <c r="H18" s="37" t="s">
        <v>1232</v>
      </c>
      <c r="I18" s="37" t="s">
        <v>819</v>
      </c>
      <c r="K18" s="66">
        <f t="shared" si="0"/>
        <v>4990</v>
      </c>
    </row>
    <row r="19" spans="1:11" x14ac:dyDescent="0.3">
      <c r="A19" s="37" t="s">
        <v>1354</v>
      </c>
      <c r="B19" s="37" t="s">
        <v>826</v>
      </c>
      <c r="C19" s="37" t="s">
        <v>1357</v>
      </c>
      <c r="D19" s="37" t="s">
        <v>1300</v>
      </c>
      <c r="E19" s="37" t="s">
        <v>1356</v>
      </c>
      <c r="F19" s="37" t="s">
        <v>822</v>
      </c>
      <c r="G19" s="37" t="s">
        <v>821</v>
      </c>
      <c r="H19" s="37" t="s">
        <v>1355</v>
      </c>
      <c r="I19" s="37" t="s">
        <v>819</v>
      </c>
      <c r="K19" s="66">
        <f t="shared" si="0"/>
        <v>83710</v>
      </c>
    </row>
    <row r="20" spans="1:11" x14ac:dyDescent="0.3">
      <c r="A20" s="37" t="s">
        <v>1354</v>
      </c>
      <c r="B20" s="37" t="s">
        <v>826</v>
      </c>
      <c r="C20" s="37" t="s">
        <v>1308</v>
      </c>
      <c r="D20" s="37" t="s">
        <v>1300</v>
      </c>
      <c r="E20" s="37" t="s">
        <v>1307</v>
      </c>
      <c r="F20" s="37" t="s">
        <v>822</v>
      </c>
      <c r="G20" s="37" t="s">
        <v>865</v>
      </c>
      <c r="H20" s="37" t="s">
        <v>1305</v>
      </c>
      <c r="I20" s="37" t="s">
        <v>819</v>
      </c>
      <c r="K20" s="66">
        <f t="shared" si="0"/>
        <v>1008000</v>
      </c>
    </row>
    <row r="21" spans="1:11" x14ac:dyDescent="0.3">
      <c r="A21" s="37" t="s">
        <v>1352</v>
      </c>
      <c r="B21" s="37" t="s">
        <v>826</v>
      </c>
      <c r="C21" s="37" t="s">
        <v>1351</v>
      </c>
      <c r="D21" s="37" t="s">
        <v>1252</v>
      </c>
      <c r="E21" s="37" t="s">
        <v>1350</v>
      </c>
      <c r="F21" s="37" t="s">
        <v>822</v>
      </c>
      <c r="G21" s="37" t="s">
        <v>821</v>
      </c>
      <c r="H21" s="37" t="s">
        <v>1353</v>
      </c>
      <c r="I21" s="37" t="s">
        <v>819</v>
      </c>
      <c r="K21" s="66">
        <f t="shared" si="0"/>
        <v>4000</v>
      </c>
    </row>
    <row r="22" spans="1:11" x14ac:dyDescent="0.3">
      <c r="A22" s="37" t="s">
        <v>1352</v>
      </c>
      <c r="B22" s="37" t="s">
        <v>826</v>
      </c>
      <c r="C22" s="37" t="s">
        <v>1351</v>
      </c>
      <c r="D22" s="37" t="s">
        <v>1252</v>
      </c>
      <c r="E22" s="37" t="s">
        <v>1350</v>
      </c>
      <c r="F22" s="37" t="s">
        <v>822</v>
      </c>
      <c r="G22" s="37" t="s">
        <v>821</v>
      </c>
      <c r="H22" s="37" t="s">
        <v>1349</v>
      </c>
      <c r="I22" s="37" t="s">
        <v>819</v>
      </c>
      <c r="K22" s="66">
        <f t="shared" si="0"/>
        <v>990</v>
      </c>
    </row>
    <row r="23" spans="1:11" x14ac:dyDescent="0.3">
      <c r="A23" s="37" t="s">
        <v>1348</v>
      </c>
      <c r="B23" s="37" t="s">
        <v>826</v>
      </c>
      <c r="C23" s="37" t="s">
        <v>1301</v>
      </c>
      <c r="D23" s="37" t="s">
        <v>1300</v>
      </c>
      <c r="E23" s="37" t="s">
        <v>1299</v>
      </c>
      <c r="F23" s="37" t="s">
        <v>822</v>
      </c>
      <c r="G23" s="37" t="s">
        <v>821</v>
      </c>
      <c r="H23" s="37" t="s">
        <v>1347</v>
      </c>
      <c r="I23" s="37" t="s">
        <v>819</v>
      </c>
      <c r="K23" s="66">
        <f t="shared" si="0"/>
        <v>412604</v>
      </c>
    </row>
    <row r="24" spans="1:11" x14ac:dyDescent="0.3">
      <c r="A24" s="37" t="s">
        <v>1346</v>
      </c>
      <c r="B24" s="37" t="s">
        <v>826</v>
      </c>
      <c r="C24" s="37" t="s">
        <v>1345</v>
      </c>
      <c r="D24" s="37" t="s">
        <v>135</v>
      </c>
      <c r="E24" s="37" t="s">
        <v>1344</v>
      </c>
      <c r="F24" s="37" t="s">
        <v>822</v>
      </c>
      <c r="G24" s="37" t="s">
        <v>821</v>
      </c>
      <c r="H24" s="37" t="s">
        <v>1343</v>
      </c>
      <c r="I24" s="37" t="s">
        <v>819</v>
      </c>
      <c r="K24" s="66">
        <f t="shared" si="0"/>
        <v>1000</v>
      </c>
    </row>
    <row r="25" spans="1:11" x14ac:dyDescent="0.3">
      <c r="A25" s="37" t="s">
        <v>1342</v>
      </c>
      <c r="B25" s="37" t="s">
        <v>826</v>
      </c>
      <c r="C25" s="37" t="s">
        <v>1308</v>
      </c>
      <c r="D25" s="37" t="s">
        <v>1300</v>
      </c>
      <c r="E25" s="37" t="s">
        <v>1307</v>
      </c>
      <c r="F25" s="37" t="s">
        <v>822</v>
      </c>
      <c r="G25" s="37" t="s">
        <v>925</v>
      </c>
      <c r="H25" s="37" t="s">
        <v>1318</v>
      </c>
      <c r="I25" s="37" t="s">
        <v>819</v>
      </c>
      <c r="K25" s="66">
        <f t="shared" si="0"/>
        <v>504000</v>
      </c>
    </row>
    <row r="26" spans="1:11" x14ac:dyDescent="0.3">
      <c r="A26" s="37" t="s">
        <v>1341</v>
      </c>
      <c r="B26" s="37" t="s">
        <v>826</v>
      </c>
      <c r="C26" s="37" t="s">
        <v>1340</v>
      </c>
      <c r="D26" s="37" t="s">
        <v>1339</v>
      </c>
      <c r="E26" s="37" t="s">
        <v>1338</v>
      </c>
      <c r="F26" s="37" t="s">
        <v>822</v>
      </c>
      <c r="G26" s="37" t="s">
        <v>821</v>
      </c>
      <c r="H26" s="37" t="s">
        <v>1337</v>
      </c>
      <c r="I26" s="37" t="s">
        <v>819</v>
      </c>
      <c r="K26" s="66">
        <f t="shared" si="0"/>
        <v>6000</v>
      </c>
    </row>
    <row r="27" spans="1:11" x14ac:dyDescent="0.3">
      <c r="A27" s="37" t="s">
        <v>1336</v>
      </c>
      <c r="B27" s="37" t="s">
        <v>826</v>
      </c>
      <c r="C27" s="37" t="s">
        <v>1335</v>
      </c>
      <c r="D27" s="37" t="s">
        <v>1334</v>
      </c>
      <c r="E27" s="37" t="s">
        <v>1333</v>
      </c>
      <c r="F27" s="37" t="s">
        <v>822</v>
      </c>
      <c r="G27" s="37" t="s">
        <v>821</v>
      </c>
      <c r="H27" s="37" t="s">
        <v>1134</v>
      </c>
      <c r="I27" s="37" t="s">
        <v>819</v>
      </c>
      <c r="K27" s="66">
        <f t="shared" si="0"/>
        <v>5000</v>
      </c>
    </row>
    <row r="28" spans="1:11" x14ac:dyDescent="0.3">
      <c r="A28" s="37" t="s">
        <v>1336</v>
      </c>
      <c r="B28" s="37" t="s">
        <v>826</v>
      </c>
      <c r="C28" s="37" t="s">
        <v>1335</v>
      </c>
      <c r="D28" s="37" t="s">
        <v>1334</v>
      </c>
      <c r="E28" s="37" t="s">
        <v>1333</v>
      </c>
      <c r="F28" s="37" t="s">
        <v>822</v>
      </c>
      <c r="G28" s="37" t="s">
        <v>821</v>
      </c>
      <c r="H28" s="37" t="s">
        <v>1332</v>
      </c>
      <c r="I28" s="37" t="s">
        <v>819</v>
      </c>
      <c r="K28" s="66">
        <f t="shared" si="0"/>
        <v>1900</v>
      </c>
    </row>
    <row r="29" spans="1:11" x14ac:dyDescent="0.3">
      <c r="A29" s="37" t="s">
        <v>1327</v>
      </c>
      <c r="B29" s="37" t="s">
        <v>826</v>
      </c>
      <c r="C29" s="37" t="s">
        <v>1331</v>
      </c>
      <c r="D29" s="37" t="s">
        <v>1330</v>
      </c>
      <c r="E29" s="37" t="s">
        <v>1329</v>
      </c>
      <c r="F29" s="37" t="s">
        <v>822</v>
      </c>
      <c r="G29" s="37" t="s">
        <v>821</v>
      </c>
      <c r="H29" s="37" t="s">
        <v>1328</v>
      </c>
      <c r="I29" s="37" t="s">
        <v>819</v>
      </c>
      <c r="K29" s="66">
        <f t="shared" si="0"/>
        <v>2100</v>
      </c>
    </row>
    <row r="30" spans="1:11" x14ac:dyDescent="0.3">
      <c r="A30" s="37" t="s">
        <v>1327</v>
      </c>
      <c r="B30" s="37" t="s">
        <v>826</v>
      </c>
      <c r="C30" s="37" t="s">
        <v>1326</v>
      </c>
      <c r="D30" s="37" t="s">
        <v>1325</v>
      </c>
      <c r="E30" s="37" t="s">
        <v>1324</v>
      </c>
      <c r="F30" s="37" t="s">
        <v>822</v>
      </c>
      <c r="G30" s="37" t="s">
        <v>821</v>
      </c>
      <c r="H30" s="37" t="s">
        <v>1323</v>
      </c>
      <c r="I30" s="37" t="s">
        <v>819</v>
      </c>
      <c r="K30" s="66">
        <f t="shared" si="0"/>
        <v>43900</v>
      </c>
    </row>
    <row r="31" spans="1:11" x14ac:dyDescent="0.3">
      <c r="A31" s="37" t="s">
        <v>1322</v>
      </c>
      <c r="B31" s="37" t="s">
        <v>826</v>
      </c>
      <c r="C31" s="37" t="s">
        <v>1308</v>
      </c>
      <c r="D31" s="37" t="s">
        <v>1300</v>
      </c>
      <c r="E31" s="37" t="s">
        <v>1307</v>
      </c>
      <c r="F31" s="37" t="s">
        <v>822</v>
      </c>
      <c r="G31" s="37" t="s">
        <v>925</v>
      </c>
      <c r="H31" s="37" t="s">
        <v>1318</v>
      </c>
      <c r="I31" s="37" t="s">
        <v>819</v>
      </c>
      <c r="K31" s="66">
        <f t="shared" si="0"/>
        <v>504000</v>
      </c>
    </row>
    <row r="32" spans="1:11" x14ac:dyDescent="0.3">
      <c r="A32" s="37" t="s">
        <v>1321</v>
      </c>
      <c r="B32" s="37" t="s">
        <v>826</v>
      </c>
      <c r="C32" s="37" t="s">
        <v>1301</v>
      </c>
      <c r="D32" s="37" t="s">
        <v>1300</v>
      </c>
      <c r="E32" s="37" t="s">
        <v>1299</v>
      </c>
      <c r="F32" s="37" t="s">
        <v>822</v>
      </c>
      <c r="G32" s="37" t="s">
        <v>1285</v>
      </c>
      <c r="H32" s="37" t="s">
        <v>1320</v>
      </c>
      <c r="I32" s="37" t="s">
        <v>819</v>
      </c>
      <c r="K32" s="66">
        <f t="shared" si="0"/>
        <v>1691151</v>
      </c>
    </row>
    <row r="33" spans="1:12" x14ac:dyDescent="0.3">
      <c r="A33" s="37" t="s">
        <v>1319</v>
      </c>
      <c r="B33" s="37" t="s">
        <v>826</v>
      </c>
      <c r="C33" s="37" t="s">
        <v>1308</v>
      </c>
      <c r="D33" s="37" t="s">
        <v>1300</v>
      </c>
      <c r="E33" s="37" t="s">
        <v>1307</v>
      </c>
      <c r="F33" s="37" t="s">
        <v>822</v>
      </c>
      <c r="G33" s="37" t="s">
        <v>1086</v>
      </c>
      <c r="H33" s="37" t="s">
        <v>1318</v>
      </c>
      <c r="I33" s="37" t="s">
        <v>819</v>
      </c>
      <c r="K33" s="66">
        <f t="shared" si="0"/>
        <v>504000</v>
      </c>
    </row>
    <row r="34" spans="1:12" x14ac:dyDescent="0.3">
      <c r="A34" s="37" t="s">
        <v>1317</v>
      </c>
      <c r="B34" s="37" t="s">
        <v>826</v>
      </c>
      <c r="C34" s="37" t="s">
        <v>1314</v>
      </c>
      <c r="D34" s="37" t="s">
        <v>1313</v>
      </c>
      <c r="E34" s="37" t="s">
        <v>1312</v>
      </c>
      <c r="F34" s="37" t="s">
        <v>822</v>
      </c>
      <c r="G34" s="37" t="s">
        <v>1285</v>
      </c>
      <c r="H34" s="37" t="s">
        <v>1316</v>
      </c>
      <c r="I34" s="37" t="s">
        <v>819</v>
      </c>
      <c r="K34" s="66">
        <f t="shared" si="0"/>
        <v>2404540</v>
      </c>
    </row>
    <row r="35" spans="1:12" x14ac:dyDescent="0.3">
      <c r="A35" s="37" t="s">
        <v>1315</v>
      </c>
      <c r="B35" s="37" t="s">
        <v>826</v>
      </c>
      <c r="C35" s="37" t="s">
        <v>1314</v>
      </c>
      <c r="D35" s="37" t="s">
        <v>1313</v>
      </c>
      <c r="E35" s="37" t="s">
        <v>1312</v>
      </c>
      <c r="F35" s="37" t="s">
        <v>822</v>
      </c>
      <c r="G35" s="37" t="s">
        <v>925</v>
      </c>
      <c r="H35" s="37" t="s">
        <v>1311</v>
      </c>
      <c r="I35" s="37" t="s">
        <v>819</v>
      </c>
      <c r="K35" s="66">
        <f t="shared" si="0"/>
        <v>547750</v>
      </c>
    </row>
    <row r="36" spans="1:12" x14ac:dyDescent="0.3">
      <c r="A36" s="37" t="s">
        <v>1315</v>
      </c>
      <c r="B36" s="37" t="s">
        <v>826</v>
      </c>
      <c r="C36" s="37" t="s">
        <v>1314</v>
      </c>
      <c r="D36" s="37" t="s">
        <v>1313</v>
      </c>
      <c r="E36" s="37" t="s">
        <v>1312</v>
      </c>
      <c r="F36" s="37" t="s">
        <v>822</v>
      </c>
      <c r="G36" s="37" t="s">
        <v>821</v>
      </c>
      <c r="H36" s="37" t="s">
        <v>1311</v>
      </c>
      <c r="I36" s="37" t="s">
        <v>1111</v>
      </c>
      <c r="K36" s="66">
        <f t="shared" si="0"/>
        <v>547750</v>
      </c>
      <c r="L36" s="66">
        <f>-K36</f>
        <v>-547750</v>
      </c>
    </row>
    <row r="37" spans="1:12" x14ac:dyDescent="0.3">
      <c r="A37" s="37" t="s">
        <v>1309</v>
      </c>
      <c r="B37" s="37" t="s">
        <v>826</v>
      </c>
      <c r="C37" s="37" t="s">
        <v>825</v>
      </c>
      <c r="D37" s="37" t="s">
        <v>824</v>
      </c>
      <c r="E37" s="37" t="s">
        <v>823</v>
      </c>
      <c r="F37" s="37" t="s">
        <v>822</v>
      </c>
      <c r="G37" s="37" t="s">
        <v>821</v>
      </c>
      <c r="H37" s="37" t="s">
        <v>1310</v>
      </c>
      <c r="I37" s="37" t="s">
        <v>819</v>
      </c>
      <c r="K37" s="66">
        <f t="shared" si="0"/>
        <v>32550</v>
      </c>
    </row>
    <row r="38" spans="1:12" x14ac:dyDescent="0.3">
      <c r="A38" s="37" t="s">
        <v>1309</v>
      </c>
      <c r="B38" s="37" t="s">
        <v>826</v>
      </c>
      <c r="C38" s="37" t="s">
        <v>1308</v>
      </c>
      <c r="D38" s="37" t="s">
        <v>1300</v>
      </c>
      <c r="E38" s="37" t="s">
        <v>1307</v>
      </c>
      <c r="F38" s="37" t="s">
        <v>822</v>
      </c>
      <c r="G38" s="37" t="s">
        <v>1306</v>
      </c>
      <c r="H38" s="37" t="s">
        <v>1305</v>
      </c>
      <c r="I38" s="37" t="s">
        <v>819</v>
      </c>
      <c r="K38" s="66">
        <f t="shared" si="0"/>
        <v>1008000</v>
      </c>
    </row>
    <row r="39" spans="1:12" x14ac:dyDescent="0.3">
      <c r="A39" s="37" t="s">
        <v>1302</v>
      </c>
      <c r="B39" s="37" t="s">
        <v>826</v>
      </c>
      <c r="C39" s="37" t="s">
        <v>1301</v>
      </c>
      <c r="D39" s="37" t="s">
        <v>1300</v>
      </c>
      <c r="E39" s="37" t="s">
        <v>1299</v>
      </c>
      <c r="F39" s="37" t="s">
        <v>822</v>
      </c>
      <c r="G39" s="37" t="s">
        <v>821</v>
      </c>
      <c r="H39" s="37" t="s">
        <v>1304</v>
      </c>
      <c r="I39" s="37" t="s">
        <v>819</v>
      </c>
      <c r="K39" s="66">
        <f t="shared" si="0"/>
        <v>1663</v>
      </c>
    </row>
    <row r="40" spans="1:12" x14ac:dyDescent="0.3">
      <c r="A40" s="37" t="s">
        <v>1302</v>
      </c>
      <c r="B40" s="37" t="s">
        <v>826</v>
      </c>
      <c r="C40" s="37" t="s">
        <v>1301</v>
      </c>
      <c r="D40" s="37" t="s">
        <v>1300</v>
      </c>
      <c r="E40" s="37" t="s">
        <v>1299</v>
      </c>
      <c r="F40" s="37" t="s">
        <v>822</v>
      </c>
      <c r="G40" s="37" t="s">
        <v>821</v>
      </c>
      <c r="H40" s="37" t="s">
        <v>1303</v>
      </c>
      <c r="I40" s="37" t="s">
        <v>819</v>
      </c>
      <c r="K40" s="66">
        <f t="shared" si="0"/>
        <v>129144</v>
      </c>
    </row>
    <row r="41" spans="1:12" x14ac:dyDescent="0.3">
      <c r="A41" s="37" t="s">
        <v>1302</v>
      </c>
      <c r="B41" s="37" t="s">
        <v>826</v>
      </c>
      <c r="C41" s="37" t="s">
        <v>1301</v>
      </c>
      <c r="D41" s="37" t="s">
        <v>1300</v>
      </c>
      <c r="E41" s="37" t="s">
        <v>1299</v>
      </c>
      <c r="F41" s="37" t="s">
        <v>822</v>
      </c>
      <c r="G41" s="37" t="s">
        <v>1113</v>
      </c>
      <c r="H41" s="37" t="s">
        <v>1298</v>
      </c>
      <c r="I41" s="37" t="s">
        <v>819</v>
      </c>
      <c r="K41" s="66">
        <f t="shared" si="0"/>
        <v>808153</v>
      </c>
    </row>
    <row r="42" spans="1:12" x14ac:dyDescent="0.3">
      <c r="A42" s="37" t="s">
        <v>1297</v>
      </c>
      <c r="B42" s="37" t="s">
        <v>826</v>
      </c>
      <c r="C42" s="37" t="s">
        <v>886</v>
      </c>
      <c r="D42" s="37" t="s">
        <v>885</v>
      </c>
      <c r="E42" s="37" t="s">
        <v>884</v>
      </c>
      <c r="F42" s="37" t="s">
        <v>822</v>
      </c>
      <c r="G42" s="37" t="s">
        <v>821</v>
      </c>
      <c r="H42" s="37" t="s">
        <v>1296</v>
      </c>
      <c r="I42" s="37" t="s">
        <v>819</v>
      </c>
      <c r="K42" s="66">
        <f t="shared" si="0"/>
        <v>138190</v>
      </c>
    </row>
    <row r="43" spans="1:12" x14ac:dyDescent="0.3">
      <c r="A43" s="37" t="s">
        <v>1294</v>
      </c>
      <c r="B43" s="37" t="s">
        <v>826</v>
      </c>
      <c r="C43" s="37" t="s">
        <v>857</v>
      </c>
      <c r="D43" s="37" t="s">
        <v>856</v>
      </c>
      <c r="E43" s="37" t="s">
        <v>855</v>
      </c>
      <c r="F43" s="37" t="s">
        <v>822</v>
      </c>
      <c r="G43" s="37" t="s">
        <v>821</v>
      </c>
      <c r="H43" s="37" t="s">
        <v>1295</v>
      </c>
      <c r="I43" s="37" t="s">
        <v>819</v>
      </c>
      <c r="K43" s="66">
        <f t="shared" si="0"/>
        <v>143860</v>
      </c>
    </row>
    <row r="44" spans="1:12" x14ac:dyDescent="0.3">
      <c r="A44" s="37" t="s">
        <v>1294</v>
      </c>
      <c r="B44" s="37" t="s">
        <v>826</v>
      </c>
      <c r="C44" s="37" t="s">
        <v>1282</v>
      </c>
      <c r="D44" s="37" t="s">
        <v>856</v>
      </c>
      <c r="E44" s="37" t="s">
        <v>1281</v>
      </c>
      <c r="F44" s="37" t="s">
        <v>822</v>
      </c>
      <c r="G44" s="37" t="s">
        <v>821</v>
      </c>
      <c r="H44" s="37" t="s">
        <v>1280</v>
      </c>
      <c r="I44" s="37" t="s">
        <v>819</v>
      </c>
      <c r="K44" s="66">
        <f t="shared" si="0"/>
        <v>2500</v>
      </c>
    </row>
    <row r="45" spans="1:12" x14ac:dyDescent="0.3">
      <c r="A45" s="37" t="s">
        <v>1293</v>
      </c>
      <c r="B45" s="37" t="s">
        <v>826</v>
      </c>
      <c r="C45" s="37" t="s">
        <v>825</v>
      </c>
      <c r="D45" s="37" t="s">
        <v>824</v>
      </c>
      <c r="E45" s="37" t="s">
        <v>823</v>
      </c>
      <c r="F45" s="37" t="s">
        <v>822</v>
      </c>
      <c r="G45" s="37" t="s">
        <v>821</v>
      </c>
      <c r="H45" s="37" t="s">
        <v>1292</v>
      </c>
      <c r="I45" s="37" t="s">
        <v>819</v>
      </c>
      <c r="K45" s="66">
        <f t="shared" si="0"/>
        <v>40770</v>
      </c>
    </row>
    <row r="46" spans="1:12" x14ac:dyDescent="0.3">
      <c r="A46" s="37" t="s">
        <v>1291</v>
      </c>
      <c r="B46" s="37" t="s">
        <v>826</v>
      </c>
      <c r="C46" s="37" t="s">
        <v>886</v>
      </c>
      <c r="D46" s="37" t="s">
        <v>885</v>
      </c>
      <c r="E46" s="37" t="s">
        <v>884</v>
      </c>
      <c r="F46" s="37" t="s">
        <v>822</v>
      </c>
      <c r="G46" s="37" t="s">
        <v>821</v>
      </c>
      <c r="H46" s="37" t="s">
        <v>1290</v>
      </c>
      <c r="I46" s="37" t="s">
        <v>819</v>
      </c>
      <c r="K46" s="66">
        <f t="shared" si="0"/>
        <v>140450</v>
      </c>
    </row>
    <row r="47" spans="1:12" x14ac:dyDescent="0.3">
      <c r="A47" s="37" t="s">
        <v>1289</v>
      </c>
      <c r="B47" s="37" t="s">
        <v>826</v>
      </c>
      <c r="C47" s="37" t="s">
        <v>1288</v>
      </c>
      <c r="D47" s="37" t="s">
        <v>1287</v>
      </c>
      <c r="E47" s="37" t="s">
        <v>1286</v>
      </c>
      <c r="F47" s="37" t="s">
        <v>822</v>
      </c>
      <c r="G47" s="37" t="s">
        <v>1285</v>
      </c>
      <c r="H47" s="37" t="s">
        <v>1277</v>
      </c>
      <c r="I47" s="37" t="s">
        <v>819</v>
      </c>
      <c r="K47" s="66">
        <f t="shared" si="0"/>
        <v>1000000</v>
      </c>
    </row>
    <row r="48" spans="1:12" x14ac:dyDescent="0.3">
      <c r="A48" s="37" t="s">
        <v>1283</v>
      </c>
      <c r="B48" s="37" t="s">
        <v>826</v>
      </c>
      <c r="C48" s="37" t="s">
        <v>857</v>
      </c>
      <c r="D48" s="37" t="s">
        <v>856</v>
      </c>
      <c r="E48" s="37" t="s">
        <v>855</v>
      </c>
      <c r="F48" s="37" t="s">
        <v>822</v>
      </c>
      <c r="G48" s="37" t="s">
        <v>821</v>
      </c>
      <c r="H48" s="37" t="s">
        <v>1284</v>
      </c>
      <c r="I48" s="37" t="s">
        <v>819</v>
      </c>
      <c r="K48" s="66">
        <f t="shared" si="0"/>
        <v>64510</v>
      </c>
    </row>
    <row r="49" spans="1:12" x14ac:dyDescent="0.3">
      <c r="A49" s="37" t="s">
        <v>1283</v>
      </c>
      <c r="B49" s="37" t="s">
        <v>826</v>
      </c>
      <c r="C49" s="37" t="s">
        <v>1282</v>
      </c>
      <c r="D49" s="37" t="s">
        <v>856</v>
      </c>
      <c r="E49" s="37" t="s">
        <v>1281</v>
      </c>
      <c r="F49" s="37" t="s">
        <v>822</v>
      </c>
      <c r="G49" s="37" t="s">
        <v>821</v>
      </c>
      <c r="H49" s="37" t="s">
        <v>1280</v>
      </c>
      <c r="I49" s="37" t="s">
        <v>819</v>
      </c>
      <c r="K49" s="66">
        <f t="shared" si="0"/>
        <v>2500</v>
      </c>
    </row>
    <row r="50" spans="1:12" x14ac:dyDescent="0.3">
      <c r="A50" s="37" t="s">
        <v>1279</v>
      </c>
      <c r="B50" s="37" t="s">
        <v>826</v>
      </c>
      <c r="C50" s="37" t="s">
        <v>1278</v>
      </c>
      <c r="D50" s="37"/>
      <c r="E50" s="37"/>
      <c r="F50" s="37" t="s">
        <v>822</v>
      </c>
      <c r="G50" s="37" t="s">
        <v>821</v>
      </c>
      <c r="H50" s="37" t="s">
        <v>1277</v>
      </c>
      <c r="I50" s="37" t="s">
        <v>819</v>
      </c>
      <c r="K50" s="66">
        <f t="shared" si="0"/>
        <v>1000000</v>
      </c>
    </row>
    <row r="51" spans="1:12" x14ac:dyDescent="0.3">
      <c r="A51" s="37" t="s">
        <v>1276</v>
      </c>
      <c r="B51" s="37" t="s">
        <v>826</v>
      </c>
      <c r="C51" s="37" t="s">
        <v>886</v>
      </c>
      <c r="D51" s="37" t="s">
        <v>885</v>
      </c>
      <c r="E51" s="37" t="s">
        <v>884</v>
      </c>
      <c r="F51" s="37" t="s">
        <v>822</v>
      </c>
      <c r="G51" s="37" t="s">
        <v>821</v>
      </c>
      <c r="H51" s="37" t="s">
        <v>1275</v>
      </c>
      <c r="I51" s="37" t="s">
        <v>819</v>
      </c>
      <c r="K51" s="66">
        <f t="shared" si="0"/>
        <v>143580</v>
      </c>
    </row>
    <row r="52" spans="1:12" x14ac:dyDescent="0.3">
      <c r="A52" s="37" t="s">
        <v>1273</v>
      </c>
      <c r="B52" s="37" t="s">
        <v>826</v>
      </c>
      <c r="C52" s="37" t="s">
        <v>857</v>
      </c>
      <c r="D52" s="37" t="s">
        <v>856</v>
      </c>
      <c r="E52" s="37" t="s">
        <v>855</v>
      </c>
      <c r="F52" s="37" t="s">
        <v>822</v>
      </c>
      <c r="G52" s="37" t="s">
        <v>821</v>
      </c>
      <c r="H52" s="37" t="s">
        <v>1274</v>
      </c>
      <c r="I52" s="37" t="s">
        <v>819</v>
      </c>
      <c r="K52" s="66">
        <f t="shared" si="0"/>
        <v>61030</v>
      </c>
    </row>
    <row r="53" spans="1:12" x14ac:dyDescent="0.3">
      <c r="A53" s="37" t="s">
        <v>1273</v>
      </c>
      <c r="B53" s="37" t="s">
        <v>826</v>
      </c>
      <c r="C53" s="37" t="s">
        <v>1253</v>
      </c>
      <c r="D53" s="37" t="s">
        <v>1252</v>
      </c>
      <c r="E53" s="37" t="s">
        <v>1251</v>
      </c>
      <c r="F53" s="37" t="s">
        <v>822</v>
      </c>
      <c r="G53" s="37" t="s">
        <v>821</v>
      </c>
      <c r="H53" s="37" t="s">
        <v>1272</v>
      </c>
      <c r="I53" s="37" t="s">
        <v>819</v>
      </c>
      <c r="K53" s="66">
        <f t="shared" si="0"/>
        <v>23920</v>
      </c>
    </row>
    <row r="54" spans="1:12" x14ac:dyDescent="0.3">
      <c r="A54" s="37" t="s">
        <v>1270</v>
      </c>
      <c r="B54" s="37" t="s">
        <v>826</v>
      </c>
      <c r="C54" s="37" t="s">
        <v>1269</v>
      </c>
      <c r="D54" s="37" t="s">
        <v>1252</v>
      </c>
      <c r="E54" s="37" t="s">
        <v>1268</v>
      </c>
      <c r="F54" s="37" t="s">
        <v>822</v>
      </c>
      <c r="G54" s="37" t="s">
        <v>821</v>
      </c>
      <c r="H54" s="37" t="s">
        <v>1271</v>
      </c>
      <c r="I54" s="37" t="s">
        <v>819</v>
      </c>
      <c r="K54" s="66">
        <f t="shared" si="0"/>
        <v>17831</v>
      </c>
    </row>
    <row r="55" spans="1:12" x14ac:dyDescent="0.3">
      <c r="A55" s="37" t="s">
        <v>1270</v>
      </c>
      <c r="B55" s="37" t="s">
        <v>826</v>
      </c>
      <c r="C55" s="37" t="s">
        <v>1269</v>
      </c>
      <c r="D55" s="37" t="s">
        <v>1252</v>
      </c>
      <c r="E55" s="37" t="s">
        <v>1268</v>
      </c>
      <c r="F55" s="37" t="s">
        <v>822</v>
      </c>
      <c r="G55" s="37" t="s">
        <v>821</v>
      </c>
      <c r="H55" s="37" t="s">
        <v>422</v>
      </c>
      <c r="I55" s="37" t="s">
        <v>1111</v>
      </c>
      <c r="K55" s="66">
        <f t="shared" si="0"/>
        <v>100</v>
      </c>
      <c r="L55" s="66">
        <f>-K55</f>
        <v>-100</v>
      </c>
    </row>
    <row r="56" spans="1:12" x14ac:dyDescent="0.3">
      <c r="A56" s="37" t="s">
        <v>1263</v>
      </c>
      <c r="B56" s="37" t="s">
        <v>826</v>
      </c>
      <c r="C56" s="37" t="s">
        <v>1267</v>
      </c>
      <c r="D56" s="37" t="s">
        <v>1266</v>
      </c>
      <c r="E56" s="37" t="s">
        <v>1265</v>
      </c>
      <c r="F56" s="37" t="s">
        <v>822</v>
      </c>
      <c r="G56" s="37" t="s">
        <v>821</v>
      </c>
      <c r="H56" s="37" t="s">
        <v>1264</v>
      </c>
      <c r="I56" s="37" t="s">
        <v>819</v>
      </c>
      <c r="K56" s="66">
        <f t="shared" si="0"/>
        <v>69000</v>
      </c>
    </row>
    <row r="57" spans="1:12" x14ac:dyDescent="0.3">
      <c r="A57" s="37" t="s">
        <v>1263</v>
      </c>
      <c r="B57" s="37" t="s">
        <v>826</v>
      </c>
      <c r="C57" s="37" t="s">
        <v>1262</v>
      </c>
      <c r="D57" s="37" t="s">
        <v>1261</v>
      </c>
      <c r="E57" s="37" t="s">
        <v>1260</v>
      </c>
      <c r="F57" s="37" t="s">
        <v>822</v>
      </c>
      <c r="G57" s="37" t="s">
        <v>821</v>
      </c>
      <c r="H57" s="37" t="s">
        <v>1259</v>
      </c>
      <c r="I57" s="37" t="s">
        <v>819</v>
      </c>
      <c r="K57" s="66">
        <f t="shared" si="0"/>
        <v>700</v>
      </c>
    </row>
    <row r="58" spans="1:12" x14ac:dyDescent="0.3">
      <c r="A58" s="37" t="s">
        <v>1263</v>
      </c>
      <c r="B58" s="37" t="s">
        <v>826</v>
      </c>
      <c r="C58" s="37" t="s">
        <v>1262</v>
      </c>
      <c r="D58" s="37" t="s">
        <v>1261</v>
      </c>
      <c r="E58" s="37" t="s">
        <v>1260</v>
      </c>
      <c r="F58" s="37" t="s">
        <v>822</v>
      </c>
      <c r="G58" s="37" t="s">
        <v>821</v>
      </c>
      <c r="H58" s="37" t="s">
        <v>1259</v>
      </c>
      <c r="I58" s="37" t="s">
        <v>819</v>
      </c>
      <c r="K58" s="66">
        <f t="shared" si="0"/>
        <v>700</v>
      </c>
    </row>
    <row r="59" spans="1:12" x14ac:dyDescent="0.3">
      <c r="A59" s="37" t="s">
        <v>1258</v>
      </c>
      <c r="B59" s="37" t="s">
        <v>826</v>
      </c>
      <c r="C59" s="37" t="s">
        <v>681</v>
      </c>
      <c r="D59" s="37" t="s">
        <v>1257</v>
      </c>
      <c r="E59" s="37" t="s">
        <v>1256</v>
      </c>
      <c r="F59" s="37" t="s">
        <v>822</v>
      </c>
      <c r="G59" s="37" t="s">
        <v>821</v>
      </c>
      <c r="H59" s="37" t="s">
        <v>1255</v>
      </c>
      <c r="I59" s="37" t="s">
        <v>819</v>
      </c>
      <c r="K59" s="66">
        <f t="shared" si="0"/>
        <v>3000</v>
      </c>
    </row>
    <row r="60" spans="1:12" x14ac:dyDescent="0.3">
      <c r="A60" s="37" t="s">
        <v>1258</v>
      </c>
      <c r="B60" s="37" t="s">
        <v>826</v>
      </c>
      <c r="C60" s="37" t="s">
        <v>681</v>
      </c>
      <c r="D60" s="37" t="s">
        <v>1257</v>
      </c>
      <c r="E60" s="37" t="s">
        <v>1256</v>
      </c>
      <c r="F60" s="37" t="s">
        <v>822</v>
      </c>
      <c r="G60" s="37" t="s">
        <v>821</v>
      </c>
      <c r="H60" s="37" t="s">
        <v>1255</v>
      </c>
      <c r="I60" s="37" t="s">
        <v>819</v>
      </c>
      <c r="K60" s="66">
        <f t="shared" si="0"/>
        <v>3000</v>
      </c>
    </row>
    <row r="61" spans="1:12" x14ac:dyDescent="0.3">
      <c r="A61" s="37" t="s">
        <v>1244</v>
      </c>
      <c r="B61" s="37" t="s">
        <v>826</v>
      </c>
      <c r="C61" s="37" t="s">
        <v>652</v>
      </c>
      <c r="D61" s="37" t="s">
        <v>961</v>
      </c>
      <c r="E61" s="37" t="s">
        <v>960</v>
      </c>
      <c r="F61" s="37" t="s">
        <v>822</v>
      </c>
      <c r="G61" s="37" t="s">
        <v>821</v>
      </c>
      <c r="H61" s="37" t="s">
        <v>1254</v>
      </c>
      <c r="I61" s="37" t="s">
        <v>819</v>
      </c>
      <c r="K61" s="66">
        <f t="shared" si="0"/>
        <v>3020</v>
      </c>
    </row>
    <row r="62" spans="1:12" x14ac:dyDescent="0.3">
      <c r="A62" s="37" t="s">
        <v>1244</v>
      </c>
      <c r="B62" s="37" t="s">
        <v>826</v>
      </c>
      <c r="C62" s="37" t="s">
        <v>1253</v>
      </c>
      <c r="D62" s="37" t="s">
        <v>1252</v>
      </c>
      <c r="E62" s="37" t="s">
        <v>1251</v>
      </c>
      <c r="F62" s="37" t="s">
        <v>822</v>
      </c>
      <c r="G62" s="37" t="s">
        <v>821</v>
      </c>
      <c r="H62" s="37" t="s">
        <v>1250</v>
      </c>
      <c r="I62" s="37" t="s">
        <v>819</v>
      </c>
      <c r="K62" s="66">
        <f t="shared" si="0"/>
        <v>22360</v>
      </c>
    </row>
    <row r="63" spans="1:12" x14ac:dyDescent="0.3">
      <c r="A63" s="37" t="s">
        <v>1244</v>
      </c>
      <c r="B63" s="37" t="s">
        <v>826</v>
      </c>
      <c r="C63" s="37" t="s">
        <v>1249</v>
      </c>
      <c r="D63" s="37" t="s">
        <v>220</v>
      </c>
      <c r="E63" s="37" t="s">
        <v>1248</v>
      </c>
      <c r="F63" s="37" t="s">
        <v>822</v>
      </c>
      <c r="G63" s="37" t="s">
        <v>821</v>
      </c>
      <c r="H63" s="37" t="s">
        <v>969</v>
      </c>
      <c r="I63" s="37" t="s">
        <v>819</v>
      </c>
      <c r="K63" s="66">
        <f t="shared" si="0"/>
        <v>15000</v>
      </c>
    </row>
    <row r="64" spans="1:12" x14ac:dyDescent="0.3">
      <c r="A64" s="37" t="s">
        <v>1244</v>
      </c>
      <c r="B64" s="37" t="s">
        <v>826</v>
      </c>
      <c r="C64" s="37" t="s">
        <v>1247</v>
      </c>
      <c r="D64" s="37" t="s">
        <v>1246</v>
      </c>
      <c r="E64" s="37" t="s">
        <v>1245</v>
      </c>
      <c r="F64" s="37" t="s">
        <v>822</v>
      </c>
      <c r="G64" s="37" t="s">
        <v>821</v>
      </c>
      <c r="H64" s="37" t="s">
        <v>1134</v>
      </c>
      <c r="I64" s="37" t="s">
        <v>819</v>
      </c>
      <c r="K64" s="66">
        <f t="shared" si="0"/>
        <v>5000</v>
      </c>
    </row>
    <row r="65" spans="1:11" x14ac:dyDescent="0.3">
      <c r="A65" s="37" t="s">
        <v>1244</v>
      </c>
      <c r="B65" s="37" t="s">
        <v>826</v>
      </c>
      <c r="C65" s="37" t="s">
        <v>1243</v>
      </c>
      <c r="D65" s="37" t="s">
        <v>1242</v>
      </c>
      <c r="E65" s="37" t="s">
        <v>1241</v>
      </c>
      <c r="F65" s="37" t="s">
        <v>822</v>
      </c>
      <c r="G65" s="37" t="s">
        <v>821</v>
      </c>
      <c r="H65" s="37" t="s">
        <v>1240</v>
      </c>
      <c r="I65" s="37" t="s">
        <v>819</v>
      </c>
      <c r="K65" s="66">
        <f t="shared" si="0"/>
        <v>34000</v>
      </c>
    </row>
    <row r="66" spans="1:11" x14ac:dyDescent="0.3">
      <c r="A66" s="37" t="s">
        <v>1239</v>
      </c>
      <c r="B66" s="37" t="s">
        <v>826</v>
      </c>
      <c r="C66" s="37" t="s">
        <v>825</v>
      </c>
      <c r="D66" s="37" t="s">
        <v>824</v>
      </c>
      <c r="E66" s="37" t="s">
        <v>823</v>
      </c>
      <c r="F66" s="37" t="s">
        <v>822</v>
      </c>
      <c r="G66" s="37" t="s">
        <v>821</v>
      </c>
      <c r="H66" s="37" t="s">
        <v>1238</v>
      </c>
      <c r="I66" s="37" t="s">
        <v>819</v>
      </c>
      <c r="K66" s="66">
        <f t="shared" si="0"/>
        <v>32730</v>
      </c>
    </row>
    <row r="67" spans="1:11" x14ac:dyDescent="0.3">
      <c r="A67" s="37" t="s">
        <v>1236</v>
      </c>
      <c r="B67" s="37" t="s">
        <v>826</v>
      </c>
      <c r="C67" s="37" t="s">
        <v>862</v>
      </c>
      <c r="D67" s="37" t="s">
        <v>861</v>
      </c>
      <c r="E67" s="37" t="s">
        <v>860</v>
      </c>
      <c r="F67" s="37" t="s">
        <v>822</v>
      </c>
      <c r="G67" s="37" t="s">
        <v>821</v>
      </c>
      <c r="H67" s="37" t="s">
        <v>1237</v>
      </c>
      <c r="I67" s="37" t="s">
        <v>819</v>
      </c>
      <c r="K67" s="66">
        <f t="shared" ref="K67:K130" si="1">H67*1</f>
        <v>67216</v>
      </c>
    </row>
    <row r="68" spans="1:11" x14ac:dyDescent="0.3">
      <c r="A68" s="37" t="s">
        <v>1236</v>
      </c>
      <c r="B68" s="37" t="s">
        <v>826</v>
      </c>
      <c r="C68" s="37" t="s">
        <v>1235</v>
      </c>
      <c r="D68" s="37" t="s">
        <v>1234</v>
      </c>
      <c r="E68" s="37" t="s">
        <v>1233</v>
      </c>
      <c r="F68" s="37" t="s">
        <v>822</v>
      </c>
      <c r="G68" s="37" t="s">
        <v>821</v>
      </c>
      <c r="H68" s="37" t="s">
        <v>1150</v>
      </c>
      <c r="I68" s="37" t="s">
        <v>819</v>
      </c>
      <c r="K68" s="66">
        <f t="shared" si="1"/>
        <v>39900</v>
      </c>
    </row>
    <row r="69" spans="1:11" x14ac:dyDescent="0.3">
      <c r="A69" s="37" t="s">
        <v>1228</v>
      </c>
      <c r="B69" s="37" t="s">
        <v>826</v>
      </c>
      <c r="C69" s="37" t="s">
        <v>55</v>
      </c>
      <c r="D69" s="37" t="s">
        <v>56</v>
      </c>
      <c r="E69" s="37" t="s">
        <v>915</v>
      </c>
      <c r="F69" s="37" t="s">
        <v>822</v>
      </c>
      <c r="G69" s="37" t="s">
        <v>821</v>
      </c>
      <c r="H69" s="37" t="s">
        <v>1232</v>
      </c>
      <c r="I69" s="37" t="s">
        <v>819</v>
      </c>
      <c r="K69" s="66">
        <f t="shared" si="1"/>
        <v>4990</v>
      </c>
    </row>
    <row r="70" spans="1:11" x14ac:dyDescent="0.3">
      <c r="A70" s="37" t="s">
        <v>1228</v>
      </c>
      <c r="B70" s="37" t="s">
        <v>826</v>
      </c>
      <c r="C70" s="37" t="s">
        <v>1231</v>
      </c>
      <c r="D70" s="37" t="s">
        <v>1230</v>
      </c>
      <c r="E70" s="37" t="s">
        <v>1229</v>
      </c>
      <c r="F70" s="37" t="s">
        <v>822</v>
      </c>
      <c r="G70" s="37" t="s">
        <v>821</v>
      </c>
      <c r="H70" s="37" t="s">
        <v>971</v>
      </c>
      <c r="I70" s="37" t="s">
        <v>819</v>
      </c>
      <c r="K70" s="66">
        <f t="shared" si="1"/>
        <v>39000</v>
      </c>
    </row>
    <row r="71" spans="1:11" x14ac:dyDescent="0.3">
      <c r="A71" s="37" t="s">
        <v>1228</v>
      </c>
      <c r="B71" s="37" t="s">
        <v>826</v>
      </c>
      <c r="C71" s="37" t="s">
        <v>1218</v>
      </c>
      <c r="D71" s="37" t="s">
        <v>1217</v>
      </c>
      <c r="E71" s="37" t="s">
        <v>1216</v>
      </c>
      <c r="F71" s="37" t="s">
        <v>822</v>
      </c>
      <c r="G71" s="37" t="s">
        <v>821</v>
      </c>
      <c r="H71" s="37" t="s">
        <v>1227</v>
      </c>
      <c r="I71" s="37" t="s">
        <v>819</v>
      </c>
      <c r="K71" s="66">
        <f t="shared" si="1"/>
        <v>55000</v>
      </c>
    </row>
    <row r="72" spans="1:11" x14ac:dyDescent="0.3">
      <c r="A72" s="37" t="s">
        <v>1226</v>
      </c>
      <c r="B72" s="37" t="s">
        <v>826</v>
      </c>
      <c r="C72" s="37" t="s">
        <v>1225</v>
      </c>
      <c r="D72" s="37" t="s">
        <v>1224</v>
      </c>
      <c r="E72" s="37" t="s">
        <v>1223</v>
      </c>
      <c r="F72" s="37" t="s">
        <v>822</v>
      </c>
      <c r="G72" s="37" t="s">
        <v>821</v>
      </c>
      <c r="H72" s="37" t="s">
        <v>950</v>
      </c>
      <c r="I72" s="37" t="s">
        <v>819</v>
      </c>
      <c r="K72" s="66">
        <f t="shared" si="1"/>
        <v>20000</v>
      </c>
    </row>
    <row r="73" spans="1:11" x14ac:dyDescent="0.3">
      <c r="A73" s="37" t="s">
        <v>1222</v>
      </c>
      <c r="B73" s="37" t="s">
        <v>826</v>
      </c>
      <c r="C73" s="37" t="s">
        <v>886</v>
      </c>
      <c r="D73" s="37" t="s">
        <v>885</v>
      </c>
      <c r="E73" s="37" t="s">
        <v>884</v>
      </c>
      <c r="F73" s="37" t="s">
        <v>822</v>
      </c>
      <c r="G73" s="37" t="s">
        <v>821</v>
      </c>
      <c r="H73" s="37" t="s">
        <v>1221</v>
      </c>
      <c r="I73" s="37" t="s">
        <v>819</v>
      </c>
      <c r="K73" s="66">
        <f t="shared" si="1"/>
        <v>138180</v>
      </c>
    </row>
    <row r="74" spans="1:11" x14ac:dyDescent="0.3">
      <c r="A74" s="37" t="s">
        <v>1219</v>
      </c>
      <c r="B74" s="37" t="s">
        <v>826</v>
      </c>
      <c r="C74" s="37" t="s">
        <v>114</v>
      </c>
      <c r="D74" s="37" t="s">
        <v>115</v>
      </c>
      <c r="E74" s="37" t="s">
        <v>866</v>
      </c>
      <c r="F74" s="37" t="s">
        <v>822</v>
      </c>
      <c r="G74" s="37" t="s">
        <v>821</v>
      </c>
      <c r="H74" s="37" t="s">
        <v>1220</v>
      </c>
      <c r="I74" s="37" t="s">
        <v>819</v>
      </c>
      <c r="K74" s="66">
        <f t="shared" si="1"/>
        <v>120220</v>
      </c>
    </row>
    <row r="75" spans="1:11" x14ac:dyDescent="0.3">
      <c r="A75" s="37" t="s">
        <v>1219</v>
      </c>
      <c r="B75" s="37" t="s">
        <v>826</v>
      </c>
      <c r="C75" s="37" t="s">
        <v>1218</v>
      </c>
      <c r="D75" s="37" t="s">
        <v>1217</v>
      </c>
      <c r="E75" s="37" t="s">
        <v>1216</v>
      </c>
      <c r="F75" s="37" t="s">
        <v>822</v>
      </c>
      <c r="G75" s="37" t="s">
        <v>821</v>
      </c>
      <c r="H75" s="37" t="s">
        <v>1215</v>
      </c>
      <c r="I75" s="37" t="s">
        <v>819</v>
      </c>
      <c r="K75" s="66">
        <f t="shared" si="1"/>
        <v>65000</v>
      </c>
    </row>
    <row r="76" spans="1:11" x14ac:dyDescent="0.3">
      <c r="A76" s="37" t="s">
        <v>1214</v>
      </c>
      <c r="B76" s="37" t="s">
        <v>826</v>
      </c>
      <c r="C76" s="37" t="s">
        <v>1213</v>
      </c>
      <c r="D76" s="37" t="s">
        <v>1212</v>
      </c>
      <c r="E76" s="37" t="s">
        <v>1211</v>
      </c>
      <c r="F76" s="37" t="s">
        <v>822</v>
      </c>
      <c r="G76" s="37" t="s">
        <v>821</v>
      </c>
      <c r="H76" s="37" t="s">
        <v>1210</v>
      </c>
      <c r="I76" s="37" t="s">
        <v>819</v>
      </c>
      <c r="K76" s="66">
        <f t="shared" si="1"/>
        <v>70000</v>
      </c>
    </row>
    <row r="77" spans="1:11" x14ac:dyDescent="0.3">
      <c r="A77" s="37" t="s">
        <v>1206</v>
      </c>
      <c r="B77" s="37" t="s">
        <v>826</v>
      </c>
      <c r="C77" s="37" t="s">
        <v>1209</v>
      </c>
      <c r="D77" s="37" t="s">
        <v>1208</v>
      </c>
      <c r="E77" s="37" t="s">
        <v>1207</v>
      </c>
      <c r="F77" s="37" t="s">
        <v>822</v>
      </c>
      <c r="G77" s="37" t="s">
        <v>821</v>
      </c>
      <c r="H77" s="37" t="s">
        <v>969</v>
      </c>
      <c r="I77" s="37" t="s">
        <v>819</v>
      </c>
      <c r="K77" s="66">
        <f t="shared" si="1"/>
        <v>15000</v>
      </c>
    </row>
    <row r="78" spans="1:11" x14ac:dyDescent="0.3">
      <c r="A78" s="37" t="s">
        <v>1206</v>
      </c>
      <c r="B78" s="37" t="s">
        <v>826</v>
      </c>
      <c r="C78" s="37" t="s">
        <v>1074</v>
      </c>
      <c r="D78" s="37" t="s">
        <v>1073</v>
      </c>
      <c r="E78" s="37" t="s">
        <v>1072</v>
      </c>
      <c r="F78" s="37" t="s">
        <v>822</v>
      </c>
      <c r="G78" s="37" t="s">
        <v>821</v>
      </c>
      <c r="H78" s="37" t="s">
        <v>1205</v>
      </c>
      <c r="I78" s="37" t="s">
        <v>819</v>
      </c>
      <c r="K78" s="66">
        <f t="shared" si="1"/>
        <v>21000</v>
      </c>
    </row>
    <row r="79" spans="1:11" x14ac:dyDescent="0.3">
      <c r="A79" s="37" t="s">
        <v>1204</v>
      </c>
      <c r="B79" s="37" t="s">
        <v>826</v>
      </c>
      <c r="C79" s="37" t="s">
        <v>857</v>
      </c>
      <c r="D79" s="37" t="s">
        <v>856</v>
      </c>
      <c r="E79" s="37" t="s">
        <v>855</v>
      </c>
      <c r="F79" s="37" t="s">
        <v>822</v>
      </c>
      <c r="G79" s="37" t="s">
        <v>821</v>
      </c>
      <c r="H79" s="37" t="s">
        <v>1203</v>
      </c>
      <c r="I79" s="37" t="s">
        <v>819</v>
      </c>
      <c r="K79" s="66">
        <f t="shared" si="1"/>
        <v>62590</v>
      </c>
    </row>
    <row r="80" spans="1:11" x14ac:dyDescent="0.3">
      <c r="A80" s="37" t="s">
        <v>1201</v>
      </c>
      <c r="B80" s="37" t="s">
        <v>826</v>
      </c>
      <c r="C80" s="37" t="s">
        <v>862</v>
      </c>
      <c r="D80" s="37" t="s">
        <v>861</v>
      </c>
      <c r="E80" s="37" t="s">
        <v>860</v>
      </c>
      <c r="F80" s="37" t="s">
        <v>822</v>
      </c>
      <c r="G80" s="37" t="s">
        <v>925</v>
      </c>
      <c r="H80" s="37" t="s">
        <v>1202</v>
      </c>
      <c r="I80" s="37" t="s">
        <v>819</v>
      </c>
      <c r="K80" s="66">
        <f t="shared" si="1"/>
        <v>201878</v>
      </c>
    </row>
    <row r="81" spans="1:12" x14ac:dyDescent="0.3">
      <c r="A81" s="37" t="s">
        <v>1201</v>
      </c>
      <c r="B81" s="37" t="s">
        <v>826</v>
      </c>
      <c r="C81" s="37" t="s">
        <v>981</v>
      </c>
      <c r="D81" s="37" t="s">
        <v>148</v>
      </c>
      <c r="E81" s="37" t="s">
        <v>980</v>
      </c>
      <c r="F81" s="37" t="s">
        <v>822</v>
      </c>
      <c r="G81" s="37" t="s">
        <v>925</v>
      </c>
      <c r="H81" s="37" t="s">
        <v>1200</v>
      </c>
      <c r="I81" s="37" t="s">
        <v>819</v>
      </c>
      <c r="K81" s="66">
        <f t="shared" si="1"/>
        <v>173600</v>
      </c>
    </row>
    <row r="82" spans="1:12" x14ac:dyDescent="0.3">
      <c r="A82" s="37" t="s">
        <v>1195</v>
      </c>
      <c r="B82" s="37" t="s">
        <v>826</v>
      </c>
      <c r="C82" s="37" t="s">
        <v>1199</v>
      </c>
      <c r="D82" s="37" t="s">
        <v>1198</v>
      </c>
      <c r="E82" s="37" t="s">
        <v>1197</v>
      </c>
      <c r="F82" s="37" t="s">
        <v>822</v>
      </c>
      <c r="G82" s="37" t="s">
        <v>821</v>
      </c>
      <c r="H82" s="37" t="s">
        <v>1196</v>
      </c>
      <c r="I82" s="37" t="s">
        <v>819</v>
      </c>
      <c r="K82" s="66">
        <f t="shared" si="1"/>
        <v>12800</v>
      </c>
    </row>
    <row r="83" spans="1:12" x14ac:dyDescent="0.3">
      <c r="A83" s="37" t="s">
        <v>1195</v>
      </c>
      <c r="B83" s="37" t="s">
        <v>826</v>
      </c>
      <c r="C83" s="37" t="s">
        <v>652</v>
      </c>
      <c r="D83" s="37" t="s">
        <v>961</v>
      </c>
      <c r="E83" s="37" t="s">
        <v>960</v>
      </c>
      <c r="F83" s="37" t="s">
        <v>822</v>
      </c>
      <c r="G83" s="37" t="s">
        <v>821</v>
      </c>
      <c r="H83" s="37" t="s">
        <v>1194</v>
      </c>
      <c r="I83" s="37" t="s">
        <v>819</v>
      </c>
      <c r="K83" s="66">
        <f t="shared" si="1"/>
        <v>22100</v>
      </c>
    </row>
    <row r="84" spans="1:12" x14ac:dyDescent="0.3">
      <c r="A84" s="37" t="s">
        <v>1193</v>
      </c>
      <c r="B84" s="37" t="s">
        <v>826</v>
      </c>
      <c r="C84" s="37" t="s">
        <v>1192</v>
      </c>
      <c r="D84" s="37" t="s">
        <v>1191</v>
      </c>
      <c r="E84" s="37" t="s">
        <v>1190</v>
      </c>
      <c r="F84" s="37" t="s">
        <v>822</v>
      </c>
      <c r="G84" s="37" t="s">
        <v>821</v>
      </c>
      <c r="H84" s="37" t="s">
        <v>1189</v>
      </c>
      <c r="I84" s="37" t="s">
        <v>819</v>
      </c>
      <c r="K84" s="66">
        <f t="shared" si="1"/>
        <v>50000</v>
      </c>
    </row>
    <row r="85" spans="1:12" x14ac:dyDescent="0.3">
      <c r="A85" s="37" t="s">
        <v>1188</v>
      </c>
      <c r="B85" s="37" t="s">
        <v>826</v>
      </c>
      <c r="C85" s="37" t="s">
        <v>1187</v>
      </c>
      <c r="D85" s="37" t="s">
        <v>1186</v>
      </c>
      <c r="E85" s="37" t="s">
        <v>1185</v>
      </c>
      <c r="F85" s="37" t="s">
        <v>822</v>
      </c>
      <c r="G85" s="37" t="s">
        <v>821</v>
      </c>
      <c r="H85" s="37" t="s">
        <v>1145</v>
      </c>
      <c r="I85" s="37" t="s">
        <v>819</v>
      </c>
      <c r="K85" s="66">
        <f t="shared" si="1"/>
        <v>11000</v>
      </c>
    </row>
    <row r="86" spans="1:12" x14ac:dyDescent="0.3">
      <c r="A86" s="37" t="s">
        <v>1172</v>
      </c>
      <c r="B86" s="37" t="s">
        <v>826</v>
      </c>
      <c r="C86" s="37" t="s">
        <v>1184</v>
      </c>
      <c r="D86" s="37" t="s">
        <v>1183</v>
      </c>
      <c r="E86" s="37" t="s">
        <v>1182</v>
      </c>
      <c r="F86" s="37" t="s">
        <v>822</v>
      </c>
      <c r="G86" s="37" t="s">
        <v>821</v>
      </c>
      <c r="H86" s="37" t="s">
        <v>1181</v>
      </c>
      <c r="I86" s="37" t="s">
        <v>819</v>
      </c>
      <c r="K86" s="66">
        <f t="shared" si="1"/>
        <v>15500</v>
      </c>
    </row>
    <row r="87" spans="1:12" x14ac:dyDescent="0.3">
      <c r="A87" s="37" t="s">
        <v>1172</v>
      </c>
      <c r="B87" s="37" t="s">
        <v>826</v>
      </c>
      <c r="C87" s="37" t="s">
        <v>1180</v>
      </c>
      <c r="D87" s="37" t="s">
        <v>1179</v>
      </c>
      <c r="E87" s="37" t="s">
        <v>1178</v>
      </c>
      <c r="F87" s="37" t="s">
        <v>822</v>
      </c>
      <c r="G87" s="37" t="s">
        <v>821</v>
      </c>
      <c r="H87" s="37" t="s">
        <v>1177</v>
      </c>
      <c r="I87" s="37" t="s">
        <v>819</v>
      </c>
      <c r="K87" s="66">
        <f t="shared" si="1"/>
        <v>5100</v>
      </c>
    </row>
    <row r="88" spans="1:12" x14ac:dyDescent="0.3">
      <c r="A88" s="37" t="s">
        <v>1172</v>
      </c>
      <c r="B88" s="37" t="s">
        <v>826</v>
      </c>
      <c r="C88" s="37" t="s">
        <v>1176</v>
      </c>
      <c r="D88" s="37" t="s">
        <v>1175</v>
      </c>
      <c r="E88" s="37" t="s">
        <v>1174</v>
      </c>
      <c r="F88" s="37" t="s">
        <v>822</v>
      </c>
      <c r="G88" s="37" t="s">
        <v>821</v>
      </c>
      <c r="H88" s="37" t="s">
        <v>1173</v>
      </c>
      <c r="I88" s="37" t="s">
        <v>819</v>
      </c>
      <c r="K88" s="66">
        <f t="shared" si="1"/>
        <v>6200</v>
      </c>
    </row>
    <row r="89" spans="1:12" x14ac:dyDescent="0.3">
      <c r="A89" s="37" t="s">
        <v>1172</v>
      </c>
      <c r="B89" s="37" t="s">
        <v>826</v>
      </c>
      <c r="C89" s="37" t="s">
        <v>1063</v>
      </c>
      <c r="D89" s="37" t="s">
        <v>1062</v>
      </c>
      <c r="E89" s="37" t="s">
        <v>1061</v>
      </c>
      <c r="F89" s="37" t="s">
        <v>822</v>
      </c>
      <c r="G89" s="37" t="s">
        <v>821</v>
      </c>
      <c r="H89" s="37" t="s">
        <v>1171</v>
      </c>
      <c r="I89" s="37" t="s">
        <v>819</v>
      </c>
      <c r="K89" s="66">
        <f t="shared" si="1"/>
        <v>9440</v>
      </c>
    </row>
    <row r="90" spans="1:12" x14ac:dyDescent="0.3">
      <c r="A90" s="37" t="s">
        <v>1168</v>
      </c>
      <c r="B90" s="37" t="s">
        <v>826</v>
      </c>
      <c r="C90" s="37" t="s">
        <v>1116</v>
      </c>
      <c r="D90" s="37" t="s">
        <v>1115</v>
      </c>
      <c r="E90" s="37" t="s">
        <v>1170</v>
      </c>
      <c r="F90" s="37" t="s">
        <v>822</v>
      </c>
      <c r="G90" s="37" t="s">
        <v>821</v>
      </c>
      <c r="H90" s="37" t="s">
        <v>1169</v>
      </c>
      <c r="I90" s="37" t="s">
        <v>819</v>
      </c>
      <c r="K90" s="66">
        <f t="shared" si="1"/>
        <v>76800</v>
      </c>
    </row>
    <row r="91" spans="1:12" x14ac:dyDescent="0.3">
      <c r="A91" s="37" t="s">
        <v>1168</v>
      </c>
      <c r="B91" s="37" t="s">
        <v>826</v>
      </c>
      <c r="C91" s="37" t="s">
        <v>1116</v>
      </c>
      <c r="D91" s="37" t="s">
        <v>1115</v>
      </c>
      <c r="E91" s="37" t="s">
        <v>1114</v>
      </c>
      <c r="F91" s="37" t="s">
        <v>822</v>
      </c>
      <c r="G91" s="37" t="s">
        <v>821</v>
      </c>
      <c r="H91" s="37" t="s">
        <v>1167</v>
      </c>
      <c r="I91" s="37" t="s">
        <v>819</v>
      </c>
      <c r="K91" s="66">
        <f t="shared" si="1"/>
        <v>170200</v>
      </c>
    </row>
    <row r="92" spans="1:12" x14ac:dyDescent="0.3">
      <c r="A92" s="37" t="s">
        <v>1165</v>
      </c>
      <c r="B92" s="37" t="s">
        <v>826</v>
      </c>
      <c r="C92" s="37" t="s">
        <v>1079</v>
      </c>
      <c r="D92" s="37" t="s">
        <v>135</v>
      </c>
      <c r="E92" s="37" t="s">
        <v>1078</v>
      </c>
      <c r="F92" s="37" t="s">
        <v>822</v>
      </c>
      <c r="G92" s="37" t="s">
        <v>821</v>
      </c>
      <c r="H92" s="37" t="s">
        <v>1166</v>
      </c>
      <c r="I92" s="37" t="s">
        <v>819</v>
      </c>
      <c r="K92" s="66">
        <f t="shared" si="1"/>
        <v>34170</v>
      </c>
    </row>
    <row r="93" spans="1:12" x14ac:dyDescent="0.3">
      <c r="A93" s="37" t="s">
        <v>1165</v>
      </c>
      <c r="B93" s="37" t="s">
        <v>826</v>
      </c>
      <c r="C93" s="37" t="s">
        <v>989</v>
      </c>
      <c r="D93" s="37" t="s">
        <v>898</v>
      </c>
      <c r="E93" s="37" t="s">
        <v>988</v>
      </c>
      <c r="F93" s="37" t="s">
        <v>822</v>
      </c>
      <c r="G93" s="37" t="s">
        <v>821</v>
      </c>
      <c r="H93" s="37" t="s">
        <v>1164</v>
      </c>
      <c r="I93" s="37" t="s">
        <v>1111</v>
      </c>
      <c r="K93" s="66">
        <f t="shared" si="1"/>
        <v>34490</v>
      </c>
      <c r="L93" s="66">
        <f>-K93</f>
        <v>-34490</v>
      </c>
    </row>
    <row r="94" spans="1:12" x14ac:dyDescent="0.3">
      <c r="A94" s="37" t="s">
        <v>1162</v>
      </c>
      <c r="B94" s="37" t="s">
        <v>826</v>
      </c>
      <c r="C94" s="37" t="s">
        <v>55</v>
      </c>
      <c r="D94" s="37" t="s">
        <v>56</v>
      </c>
      <c r="E94" s="37" t="s">
        <v>915</v>
      </c>
      <c r="F94" s="37" t="s">
        <v>822</v>
      </c>
      <c r="G94" s="37" t="s">
        <v>821</v>
      </c>
      <c r="H94" s="37" t="s">
        <v>1163</v>
      </c>
      <c r="I94" s="37" t="s">
        <v>819</v>
      </c>
      <c r="K94" s="66">
        <f t="shared" si="1"/>
        <v>44630</v>
      </c>
    </row>
    <row r="95" spans="1:12" x14ac:dyDescent="0.3">
      <c r="A95" s="37" t="s">
        <v>1162</v>
      </c>
      <c r="B95" s="37" t="s">
        <v>826</v>
      </c>
      <c r="C95" s="37" t="s">
        <v>55</v>
      </c>
      <c r="D95" s="37" t="s">
        <v>56</v>
      </c>
      <c r="E95" s="37" t="s">
        <v>915</v>
      </c>
      <c r="F95" s="37" t="s">
        <v>822</v>
      </c>
      <c r="G95" s="37" t="s">
        <v>821</v>
      </c>
      <c r="H95" s="37" t="s">
        <v>1013</v>
      </c>
      <c r="I95" s="37" t="s">
        <v>819</v>
      </c>
      <c r="K95" s="66">
        <f t="shared" si="1"/>
        <v>3500</v>
      </c>
    </row>
    <row r="96" spans="1:12" x14ac:dyDescent="0.3">
      <c r="A96" s="37" t="s">
        <v>1162</v>
      </c>
      <c r="B96" s="37" t="s">
        <v>826</v>
      </c>
      <c r="C96" s="37" t="s">
        <v>1161</v>
      </c>
      <c r="D96" s="37" t="s">
        <v>898</v>
      </c>
      <c r="E96" s="37" t="s">
        <v>1160</v>
      </c>
      <c r="F96" s="37" t="s">
        <v>822</v>
      </c>
      <c r="G96" s="37" t="s">
        <v>821</v>
      </c>
      <c r="H96" s="37" t="s">
        <v>1159</v>
      </c>
      <c r="I96" s="37" t="s">
        <v>819</v>
      </c>
      <c r="K96" s="66">
        <f t="shared" si="1"/>
        <v>62800</v>
      </c>
    </row>
    <row r="97" spans="1:11" x14ac:dyDescent="0.3">
      <c r="A97" s="37" t="s">
        <v>1149</v>
      </c>
      <c r="B97" s="37" t="s">
        <v>826</v>
      </c>
      <c r="C97" s="37" t="s">
        <v>862</v>
      </c>
      <c r="D97" s="37" t="s">
        <v>861</v>
      </c>
      <c r="E97" s="37" t="s">
        <v>860</v>
      </c>
      <c r="F97" s="37" t="s">
        <v>822</v>
      </c>
      <c r="G97" s="37" t="s">
        <v>821</v>
      </c>
      <c r="H97" s="37" t="s">
        <v>1158</v>
      </c>
      <c r="I97" s="37" t="s">
        <v>819</v>
      </c>
      <c r="K97" s="66">
        <f t="shared" si="1"/>
        <v>62334</v>
      </c>
    </row>
    <row r="98" spans="1:11" x14ac:dyDescent="0.3">
      <c r="A98" s="37" t="s">
        <v>1149</v>
      </c>
      <c r="B98" s="37" t="s">
        <v>826</v>
      </c>
      <c r="C98" s="37" t="s">
        <v>1157</v>
      </c>
      <c r="D98" s="37" t="s">
        <v>1156</v>
      </c>
      <c r="E98" s="37" t="s">
        <v>1155</v>
      </c>
      <c r="F98" s="37" t="s">
        <v>822</v>
      </c>
      <c r="G98" s="37" t="s">
        <v>925</v>
      </c>
      <c r="H98" s="37" t="s">
        <v>1154</v>
      </c>
      <c r="I98" s="37" t="s">
        <v>819</v>
      </c>
      <c r="K98" s="66">
        <f t="shared" si="1"/>
        <v>111280</v>
      </c>
    </row>
    <row r="99" spans="1:11" x14ac:dyDescent="0.3">
      <c r="A99" s="37" t="s">
        <v>1149</v>
      </c>
      <c r="B99" s="37" t="s">
        <v>826</v>
      </c>
      <c r="C99" s="37" t="s">
        <v>825</v>
      </c>
      <c r="D99" s="37" t="s">
        <v>824</v>
      </c>
      <c r="E99" s="37" t="s">
        <v>823</v>
      </c>
      <c r="F99" s="37" t="s">
        <v>822</v>
      </c>
      <c r="G99" s="37" t="s">
        <v>821</v>
      </c>
      <c r="H99" s="37" t="s">
        <v>1153</v>
      </c>
      <c r="I99" s="37" t="s">
        <v>819</v>
      </c>
      <c r="K99" s="66">
        <f t="shared" si="1"/>
        <v>28860</v>
      </c>
    </row>
    <row r="100" spans="1:11" x14ac:dyDescent="0.3">
      <c r="A100" s="37" t="s">
        <v>1149</v>
      </c>
      <c r="B100" s="37" t="s">
        <v>826</v>
      </c>
      <c r="C100" s="37" t="s">
        <v>1152</v>
      </c>
      <c r="D100" s="37" t="s">
        <v>135</v>
      </c>
      <c r="E100" s="37" t="s">
        <v>1151</v>
      </c>
      <c r="F100" s="37" t="s">
        <v>822</v>
      </c>
      <c r="G100" s="37" t="s">
        <v>821</v>
      </c>
      <c r="H100" s="37" t="s">
        <v>1150</v>
      </c>
      <c r="I100" s="37" t="s">
        <v>819</v>
      </c>
      <c r="K100" s="66">
        <f t="shared" si="1"/>
        <v>39900</v>
      </c>
    </row>
    <row r="101" spans="1:11" x14ac:dyDescent="0.3">
      <c r="A101" s="37" t="s">
        <v>1149</v>
      </c>
      <c r="B101" s="37" t="s">
        <v>826</v>
      </c>
      <c r="C101" s="37" t="s">
        <v>1148</v>
      </c>
      <c r="D101" s="37" t="s">
        <v>1147</v>
      </c>
      <c r="E101" s="37" t="s">
        <v>1146</v>
      </c>
      <c r="F101" s="37" t="s">
        <v>822</v>
      </c>
      <c r="G101" s="37" t="s">
        <v>821</v>
      </c>
      <c r="H101" s="37" t="s">
        <v>1145</v>
      </c>
      <c r="I101" s="37" t="s">
        <v>819</v>
      </c>
      <c r="K101" s="66">
        <f t="shared" si="1"/>
        <v>11000</v>
      </c>
    </row>
    <row r="102" spans="1:11" x14ac:dyDescent="0.3">
      <c r="A102" s="37" t="s">
        <v>1144</v>
      </c>
      <c r="B102" s="37" t="s">
        <v>826</v>
      </c>
      <c r="C102" s="37" t="s">
        <v>1079</v>
      </c>
      <c r="D102" s="37" t="s">
        <v>135</v>
      </c>
      <c r="E102" s="37" t="s">
        <v>1078</v>
      </c>
      <c r="F102" s="37" t="s">
        <v>822</v>
      </c>
      <c r="G102" s="37" t="s">
        <v>821</v>
      </c>
      <c r="H102" s="37" t="s">
        <v>1143</v>
      </c>
      <c r="I102" s="37" t="s">
        <v>819</v>
      </c>
      <c r="K102" s="66">
        <f t="shared" si="1"/>
        <v>54100</v>
      </c>
    </row>
    <row r="103" spans="1:11" x14ac:dyDescent="0.3">
      <c r="A103" s="37" t="s">
        <v>1142</v>
      </c>
      <c r="B103" s="37" t="s">
        <v>826</v>
      </c>
      <c r="C103" s="37" t="s">
        <v>1141</v>
      </c>
      <c r="D103" s="37" t="s">
        <v>1140</v>
      </c>
      <c r="E103" s="37" t="s">
        <v>1139</v>
      </c>
      <c r="F103" s="37" t="s">
        <v>822</v>
      </c>
      <c r="G103" s="37" t="s">
        <v>821</v>
      </c>
      <c r="H103" s="37" t="s">
        <v>839</v>
      </c>
      <c r="I103" s="37" t="s">
        <v>819</v>
      </c>
      <c r="K103" s="66">
        <f t="shared" si="1"/>
        <v>5800</v>
      </c>
    </row>
    <row r="104" spans="1:11" x14ac:dyDescent="0.3">
      <c r="A104" s="37" t="s">
        <v>1138</v>
      </c>
      <c r="B104" s="37" t="s">
        <v>826</v>
      </c>
      <c r="C104" s="37" t="s">
        <v>989</v>
      </c>
      <c r="D104" s="37" t="s">
        <v>898</v>
      </c>
      <c r="E104" s="37" t="s">
        <v>988</v>
      </c>
      <c r="F104" s="37" t="s">
        <v>822</v>
      </c>
      <c r="G104" s="37" t="s">
        <v>821</v>
      </c>
      <c r="H104" s="37" t="s">
        <v>1137</v>
      </c>
      <c r="I104" s="37" t="s">
        <v>819</v>
      </c>
      <c r="K104" s="66">
        <f t="shared" si="1"/>
        <v>12500</v>
      </c>
    </row>
    <row r="105" spans="1:11" x14ac:dyDescent="0.3">
      <c r="A105" s="37" t="s">
        <v>1135</v>
      </c>
      <c r="B105" s="37" t="s">
        <v>826</v>
      </c>
      <c r="C105" s="37" t="s">
        <v>55</v>
      </c>
      <c r="D105" s="37" t="s">
        <v>56</v>
      </c>
      <c r="E105" s="37" t="s">
        <v>915</v>
      </c>
      <c r="F105" s="37" t="s">
        <v>822</v>
      </c>
      <c r="G105" s="37" t="s">
        <v>821</v>
      </c>
      <c r="H105" s="37" t="s">
        <v>1136</v>
      </c>
      <c r="I105" s="37" t="s">
        <v>819</v>
      </c>
      <c r="K105" s="66">
        <f t="shared" si="1"/>
        <v>24870</v>
      </c>
    </row>
    <row r="106" spans="1:11" x14ac:dyDescent="0.3">
      <c r="A106" s="37" t="s">
        <v>1135</v>
      </c>
      <c r="B106" s="37" t="s">
        <v>826</v>
      </c>
      <c r="C106" s="37" t="s">
        <v>55</v>
      </c>
      <c r="D106" s="37" t="s">
        <v>56</v>
      </c>
      <c r="E106" s="37" t="s">
        <v>915</v>
      </c>
      <c r="F106" s="37" t="s">
        <v>822</v>
      </c>
      <c r="G106" s="37" t="s">
        <v>821</v>
      </c>
      <c r="H106" s="37" t="s">
        <v>1134</v>
      </c>
      <c r="I106" s="37" t="s">
        <v>819</v>
      </c>
      <c r="K106" s="66">
        <f t="shared" si="1"/>
        <v>5000</v>
      </c>
    </row>
    <row r="107" spans="1:11" x14ac:dyDescent="0.3">
      <c r="A107" s="37" t="s">
        <v>1133</v>
      </c>
      <c r="B107" s="37" t="s">
        <v>826</v>
      </c>
      <c r="C107" s="37" t="s">
        <v>886</v>
      </c>
      <c r="D107" s="37" t="s">
        <v>885</v>
      </c>
      <c r="E107" s="37" t="s">
        <v>884</v>
      </c>
      <c r="F107" s="37" t="s">
        <v>822</v>
      </c>
      <c r="G107" s="37" t="s">
        <v>821</v>
      </c>
      <c r="H107" s="37" t="s">
        <v>1132</v>
      </c>
      <c r="I107" s="37" t="s">
        <v>819</v>
      </c>
      <c r="K107" s="66">
        <f t="shared" si="1"/>
        <v>135890</v>
      </c>
    </row>
    <row r="108" spans="1:11" x14ac:dyDescent="0.3">
      <c r="A108" s="37" t="s">
        <v>1131</v>
      </c>
      <c r="B108" s="37" t="s">
        <v>826</v>
      </c>
      <c r="C108" s="37" t="s">
        <v>114</v>
      </c>
      <c r="D108" s="37" t="s">
        <v>115</v>
      </c>
      <c r="E108" s="37" t="s">
        <v>866</v>
      </c>
      <c r="F108" s="37" t="s">
        <v>822</v>
      </c>
      <c r="G108" s="37" t="s">
        <v>865</v>
      </c>
      <c r="H108" s="37" t="s">
        <v>1130</v>
      </c>
      <c r="I108" s="37" t="s">
        <v>819</v>
      </c>
      <c r="K108" s="66">
        <f t="shared" si="1"/>
        <v>228320</v>
      </c>
    </row>
    <row r="109" spans="1:11" x14ac:dyDescent="0.3">
      <c r="A109" s="37" t="s">
        <v>1127</v>
      </c>
      <c r="B109" s="37" t="s">
        <v>826</v>
      </c>
      <c r="C109" s="37" t="s">
        <v>852</v>
      </c>
      <c r="D109" s="37" t="s">
        <v>851</v>
      </c>
      <c r="E109" s="37" t="s">
        <v>850</v>
      </c>
      <c r="F109" s="37" t="s">
        <v>822</v>
      </c>
      <c r="G109" s="37" t="s">
        <v>821</v>
      </c>
      <c r="H109" s="37" t="s">
        <v>1129</v>
      </c>
      <c r="I109" s="37" t="s">
        <v>819</v>
      </c>
      <c r="K109" s="66">
        <f t="shared" si="1"/>
        <v>25400</v>
      </c>
    </row>
    <row r="110" spans="1:11" x14ac:dyDescent="0.3">
      <c r="A110" s="37" t="s">
        <v>1127</v>
      </c>
      <c r="B110" s="37" t="s">
        <v>826</v>
      </c>
      <c r="C110" s="37" t="s">
        <v>1058</v>
      </c>
      <c r="D110" s="37" t="s">
        <v>1057</v>
      </c>
      <c r="E110" s="37" t="s">
        <v>1056</v>
      </c>
      <c r="F110" s="37" t="s">
        <v>822</v>
      </c>
      <c r="G110" s="37" t="s">
        <v>821</v>
      </c>
      <c r="H110" s="37" t="s">
        <v>1128</v>
      </c>
      <c r="I110" s="37" t="s">
        <v>819</v>
      </c>
      <c r="K110" s="66">
        <f t="shared" si="1"/>
        <v>110300</v>
      </c>
    </row>
    <row r="111" spans="1:11" x14ac:dyDescent="0.3">
      <c r="A111" s="37" t="s">
        <v>1127</v>
      </c>
      <c r="B111" s="37" t="s">
        <v>826</v>
      </c>
      <c r="C111" s="37" t="s">
        <v>660</v>
      </c>
      <c r="D111" s="37" t="s">
        <v>837</v>
      </c>
      <c r="E111" s="37" t="s">
        <v>836</v>
      </c>
      <c r="F111" s="37" t="s">
        <v>822</v>
      </c>
      <c r="G111" s="37" t="s">
        <v>821</v>
      </c>
      <c r="H111" s="37" t="s">
        <v>1053</v>
      </c>
      <c r="I111" s="37" t="s">
        <v>819</v>
      </c>
      <c r="K111" s="66">
        <f t="shared" si="1"/>
        <v>3700</v>
      </c>
    </row>
    <row r="112" spans="1:11" x14ac:dyDescent="0.3">
      <c r="A112" s="37" t="s">
        <v>1127</v>
      </c>
      <c r="B112" s="37" t="s">
        <v>826</v>
      </c>
      <c r="C112" s="37" t="s">
        <v>80</v>
      </c>
      <c r="D112" s="37" t="s">
        <v>81</v>
      </c>
      <c r="E112" s="37" t="s">
        <v>889</v>
      </c>
      <c r="F112" s="37" t="s">
        <v>822</v>
      </c>
      <c r="G112" s="37" t="s">
        <v>821</v>
      </c>
      <c r="H112" s="37" t="s">
        <v>1017</v>
      </c>
      <c r="I112" s="37" t="s">
        <v>819</v>
      </c>
      <c r="K112" s="66">
        <f t="shared" si="1"/>
        <v>17800</v>
      </c>
    </row>
    <row r="113" spans="1:12" x14ac:dyDescent="0.3">
      <c r="A113" s="37" t="s">
        <v>1126</v>
      </c>
      <c r="B113" s="37" t="s">
        <v>826</v>
      </c>
      <c r="C113" s="37" t="s">
        <v>1125</v>
      </c>
      <c r="D113" s="37" t="s">
        <v>200</v>
      </c>
      <c r="E113" s="37" t="s">
        <v>1124</v>
      </c>
      <c r="F113" s="37" t="s">
        <v>822</v>
      </c>
      <c r="G113" s="37" t="s">
        <v>821</v>
      </c>
      <c r="H113" s="37" t="s">
        <v>1123</v>
      </c>
      <c r="I113" s="37" t="s">
        <v>819</v>
      </c>
      <c r="K113" s="66">
        <f t="shared" si="1"/>
        <v>54650</v>
      </c>
    </row>
    <row r="114" spans="1:12" x14ac:dyDescent="0.3">
      <c r="A114" s="37" t="s">
        <v>1122</v>
      </c>
      <c r="B114" s="37" t="s">
        <v>826</v>
      </c>
      <c r="C114" s="37" t="s">
        <v>831</v>
      </c>
      <c r="D114" s="37" t="s">
        <v>830</v>
      </c>
      <c r="E114" s="37" t="s">
        <v>829</v>
      </c>
      <c r="F114" s="37" t="s">
        <v>822</v>
      </c>
      <c r="G114" s="37" t="s">
        <v>821</v>
      </c>
      <c r="H114" s="37" t="s">
        <v>1121</v>
      </c>
      <c r="I114" s="37" t="s">
        <v>819</v>
      </c>
      <c r="K114" s="66">
        <f t="shared" si="1"/>
        <v>12100</v>
      </c>
    </row>
    <row r="115" spans="1:12" x14ac:dyDescent="0.3">
      <c r="A115" s="37" t="s">
        <v>1120</v>
      </c>
      <c r="B115" s="37" t="s">
        <v>826</v>
      </c>
      <c r="C115" s="37" t="s">
        <v>857</v>
      </c>
      <c r="D115" s="37" t="s">
        <v>856</v>
      </c>
      <c r="E115" s="37" t="s">
        <v>855</v>
      </c>
      <c r="F115" s="37" t="s">
        <v>822</v>
      </c>
      <c r="G115" s="37" t="s">
        <v>821</v>
      </c>
      <c r="H115" s="37" t="s">
        <v>1119</v>
      </c>
      <c r="I115" s="37" t="s">
        <v>819</v>
      </c>
      <c r="K115" s="66">
        <f t="shared" si="1"/>
        <v>65200</v>
      </c>
    </row>
    <row r="116" spans="1:12" x14ac:dyDescent="0.3">
      <c r="A116" s="37" t="s">
        <v>1118</v>
      </c>
      <c r="B116" s="37" t="s">
        <v>826</v>
      </c>
      <c r="C116" s="37" t="s">
        <v>1116</v>
      </c>
      <c r="D116" s="37" t="s">
        <v>1115</v>
      </c>
      <c r="E116" s="37" t="s">
        <v>1114</v>
      </c>
      <c r="F116" s="37" t="s">
        <v>822</v>
      </c>
      <c r="G116" s="37" t="s">
        <v>1113</v>
      </c>
      <c r="H116" s="37" t="s">
        <v>1112</v>
      </c>
      <c r="I116" s="37" t="s">
        <v>1111</v>
      </c>
      <c r="K116" s="66">
        <f t="shared" si="1"/>
        <v>282800</v>
      </c>
      <c r="L116" s="66">
        <f>-K116</f>
        <v>-282800</v>
      </c>
    </row>
    <row r="117" spans="1:12" x14ac:dyDescent="0.3">
      <c r="A117" s="37" t="s">
        <v>1117</v>
      </c>
      <c r="B117" s="37" t="s">
        <v>826</v>
      </c>
      <c r="C117" s="37" t="s">
        <v>55</v>
      </c>
      <c r="D117" s="37" t="s">
        <v>56</v>
      </c>
      <c r="E117" s="37" t="s">
        <v>915</v>
      </c>
      <c r="F117" s="37" t="s">
        <v>822</v>
      </c>
      <c r="G117" s="37" t="s">
        <v>821</v>
      </c>
      <c r="H117" s="37" t="s">
        <v>969</v>
      </c>
      <c r="I117" s="37" t="s">
        <v>819</v>
      </c>
      <c r="K117" s="66">
        <f t="shared" si="1"/>
        <v>15000</v>
      </c>
    </row>
    <row r="118" spans="1:12" x14ac:dyDescent="0.3">
      <c r="A118" s="37" t="s">
        <v>1117</v>
      </c>
      <c r="B118" s="37" t="s">
        <v>826</v>
      </c>
      <c r="C118" s="37" t="s">
        <v>1116</v>
      </c>
      <c r="D118" s="37" t="s">
        <v>1115</v>
      </c>
      <c r="E118" s="37" t="s">
        <v>1114</v>
      </c>
      <c r="F118" s="37" t="s">
        <v>822</v>
      </c>
      <c r="G118" s="37" t="s">
        <v>1113</v>
      </c>
      <c r="H118" s="37" t="s">
        <v>1112</v>
      </c>
      <c r="I118" s="37" t="s">
        <v>1111</v>
      </c>
      <c r="K118" s="66">
        <f t="shared" si="1"/>
        <v>282800</v>
      </c>
      <c r="L118" s="66">
        <f>-K118</f>
        <v>-282800</v>
      </c>
    </row>
    <row r="119" spans="1:12" x14ac:dyDescent="0.3">
      <c r="A119" s="37" t="s">
        <v>1109</v>
      </c>
      <c r="B119" s="37" t="s">
        <v>826</v>
      </c>
      <c r="C119" s="37" t="s">
        <v>114</v>
      </c>
      <c r="D119" s="37" t="s">
        <v>115</v>
      </c>
      <c r="E119" s="37" t="s">
        <v>866</v>
      </c>
      <c r="F119" s="37" t="s">
        <v>822</v>
      </c>
      <c r="G119" s="37" t="s">
        <v>821</v>
      </c>
      <c r="H119" s="37" t="s">
        <v>1110</v>
      </c>
      <c r="I119" s="37" t="s">
        <v>819</v>
      </c>
      <c r="K119" s="66">
        <f t="shared" si="1"/>
        <v>109420</v>
      </c>
    </row>
    <row r="120" spans="1:12" x14ac:dyDescent="0.3">
      <c r="A120" s="37" t="s">
        <v>1109</v>
      </c>
      <c r="B120" s="37" t="s">
        <v>826</v>
      </c>
      <c r="C120" s="37" t="s">
        <v>1108</v>
      </c>
      <c r="D120" s="37" t="s">
        <v>1107</v>
      </c>
      <c r="E120" s="37" t="s">
        <v>1106</v>
      </c>
      <c r="F120" s="37" t="s">
        <v>822</v>
      </c>
      <c r="G120" s="37" t="s">
        <v>821</v>
      </c>
      <c r="H120" s="37" t="s">
        <v>1105</v>
      </c>
      <c r="I120" s="37" t="s">
        <v>819</v>
      </c>
      <c r="K120" s="66">
        <f t="shared" si="1"/>
        <v>120000</v>
      </c>
    </row>
    <row r="121" spans="1:12" x14ac:dyDescent="0.3">
      <c r="A121" s="37" t="s">
        <v>1104</v>
      </c>
      <c r="B121" s="37" t="s">
        <v>826</v>
      </c>
      <c r="C121" s="37" t="s">
        <v>1103</v>
      </c>
      <c r="D121" s="37" t="s">
        <v>220</v>
      </c>
      <c r="E121" s="37" t="s">
        <v>1102</v>
      </c>
      <c r="F121" s="37" t="s">
        <v>822</v>
      </c>
      <c r="G121" s="37" t="s">
        <v>821</v>
      </c>
      <c r="H121" s="37" t="s">
        <v>1101</v>
      </c>
      <c r="I121" s="37" t="s">
        <v>819</v>
      </c>
      <c r="K121" s="66">
        <f t="shared" si="1"/>
        <v>48460</v>
      </c>
    </row>
    <row r="122" spans="1:12" x14ac:dyDescent="0.3">
      <c r="A122" s="37" t="s">
        <v>1100</v>
      </c>
      <c r="B122" s="37" t="s">
        <v>826</v>
      </c>
      <c r="C122" s="37" t="s">
        <v>55</v>
      </c>
      <c r="D122" s="37" t="s">
        <v>56</v>
      </c>
      <c r="E122" s="37" t="s">
        <v>915</v>
      </c>
      <c r="F122" s="37" t="s">
        <v>822</v>
      </c>
      <c r="G122" s="37" t="s">
        <v>821</v>
      </c>
      <c r="H122" s="37" t="s">
        <v>1099</v>
      </c>
      <c r="I122" s="37" t="s">
        <v>819</v>
      </c>
      <c r="K122" s="66">
        <f t="shared" si="1"/>
        <v>108630</v>
      </c>
    </row>
    <row r="123" spans="1:12" x14ac:dyDescent="0.3">
      <c r="A123" s="37" t="s">
        <v>1098</v>
      </c>
      <c r="B123" s="37" t="s">
        <v>826</v>
      </c>
      <c r="C123" s="37" t="s">
        <v>936</v>
      </c>
      <c r="D123" s="37" t="s">
        <v>935</v>
      </c>
      <c r="E123" s="37" t="s">
        <v>934</v>
      </c>
      <c r="F123" s="37" t="s">
        <v>822</v>
      </c>
      <c r="G123" s="37" t="s">
        <v>821</v>
      </c>
      <c r="H123" s="37" t="s">
        <v>1097</v>
      </c>
      <c r="I123" s="37" t="s">
        <v>819</v>
      </c>
      <c r="K123" s="66">
        <f t="shared" si="1"/>
        <v>13500</v>
      </c>
    </row>
    <row r="124" spans="1:12" x14ac:dyDescent="0.3">
      <c r="A124" s="37" t="s">
        <v>1090</v>
      </c>
      <c r="B124" s="37" t="s">
        <v>826</v>
      </c>
      <c r="C124" s="37" t="s">
        <v>1096</v>
      </c>
      <c r="D124" s="37" t="s">
        <v>1095</v>
      </c>
      <c r="E124" s="37" t="s">
        <v>1094</v>
      </c>
      <c r="F124" s="37" t="s">
        <v>822</v>
      </c>
      <c r="G124" s="37" t="s">
        <v>821</v>
      </c>
      <c r="H124" s="37" t="s">
        <v>1093</v>
      </c>
      <c r="I124" s="37" t="s">
        <v>819</v>
      </c>
      <c r="K124" s="66">
        <f t="shared" si="1"/>
        <v>11600</v>
      </c>
    </row>
    <row r="125" spans="1:12" x14ac:dyDescent="0.3">
      <c r="A125" s="37" t="s">
        <v>1090</v>
      </c>
      <c r="B125" s="37" t="s">
        <v>826</v>
      </c>
      <c r="C125" s="37" t="s">
        <v>981</v>
      </c>
      <c r="D125" s="37" t="s">
        <v>148</v>
      </c>
      <c r="E125" s="37" t="s">
        <v>980</v>
      </c>
      <c r="F125" s="37" t="s">
        <v>822</v>
      </c>
      <c r="G125" s="37" t="s">
        <v>821</v>
      </c>
      <c r="H125" s="37" t="s">
        <v>1092</v>
      </c>
      <c r="I125" s="37" t="s">
        <v>819</v>
      </c>
      <c r="K125" s="66">
        <f t="shared" si="1"/>
        <v>33510</v>
      </c>
    </row>
    <row r="126" spans="1:12" x14ac:dyDescent="0.3">
      <c r="A126" s="37" t="s">
        <v>1090</v>
      </c>
      <c r="B126" s="37" t="s">
        <v>826</v>
      </c>
      <c r="C126" s="37" t="s">
        <v>981</v>
      </c>
      <c r="D126" s="37" t="s">
        <v>148</v>
      </c>
      <c r="E126" s="37" t="s">
        <v>980</v>
      </c>
      <c r="F126" s="37" t="s">
        <v>822</v>
      </c>
      <c r="G126" s="37" t="s">
        <v>821</v>
      </c>
      <c r="H126" s="37" t="s">
        <v>1091</v>
      </c>
      <c r="I126" s="37" t="s">
        <v>819</v>
      </c>
      <c r="K126" s="66">
        <f t="shared" si="1"/>
        <v>25240</v>
      </c>
    </row>
    <row r="127" spans="1:12" x14ac:dyDescent="0.3">
      <c r="A127" s="37" t="s">
        <v>1090</v>
      </c>
      <c r="B127" s="37" t="s">
        <v>826</v>
      </c>
      <c r="C127" s="37" t="s">
        <v>652</v>
      </c>
      <c r="D127" s="37" t="s">
        <v>961</v>
      </c>
      <c r="E127" s="37" t="s">
        <v>960</v>
      </c>
      <c r="F127" s="37" t="s">
        <v>822</v>
      </c>
      <c r="G127" s="37" t="s">
        <v>821</v>
      </c>
      <c r="H127" s="37" t="s">
        <v>996</v>
      </c>
      <c r="I127" s="37" t="s">
        <v>819</v>
      </c>
      <c r="K127" s="66">
        <f t="shared" si="1"/>
        <v>5200</v>
      </c>
    </row>
    <row r="128" spans="1:12" x14ac:dyDescent="0.3">
      <c r="A128" s="37" t="s">
        <v>1088</v>
      </c>
      <c r="B128" s="37" t="s">
        <v>826</v>
      </c>
      <c r="C128" s="37" t="s">
        <v>825</v>
      </c>
      <c r="D128" s="37" t="s">
        <v>824</v>
      </c>
      <c r="E128" s="37" t="s">
        <v>823</v>
      </c>
      <c r="F128" s="37" t="s">
        <v>822</v>
      </c>
      <c r="G128" s="37" t="s">
        <v>821</v>
      </c>
      <c r="H128" s="37" t="s">
        <v>1089</v>
      </c>
      <c r="I128" s="37" t="s">
        <v>819</v>
      </c>
      <c r="K128" s="66">
        <f t="shared" si="1"/>
        <v>43960</v>
      </c>
    </row>
    <row r="129" spans="1:11" x14ac:dyDescent="0.3">
      <c r="A129" s="37" t="s">
        <v>1088</v>
      </c>
      <c r="B129" s="37" t="s">
        <v>826</v>
      </c>
      <c r="C129" s="37" t="s">
        <v>989</v>
      </c>
      <c r="D129" s="37" t="s">
        <v>898</v>
      </c>
      <c r="E129" s="37" t="s">
        <v>988</v>
      </c>
      <c r="F129" s="37" t="s">
        <v>822</v>
      </c>
      <c r="G129" s="37" t="s">
        <v>821</v>
      </c>
      <c r="H129" s="37" t="s">
        <v>1087</v>
      </c>
      <c r="I129" s="37" t="s">
        <v>819</v>
      </c>
      <c r="K129" s="66">
        <f t="shared" si="1"/>
        <v>23520</v>
      </c>
    </row>
    <row r="130" spans="1:11" x14ac:dyDescent="0.3">
      <c r="A130" s="37" t="s">
        <v>1084</v>
      </c>
      <c r="B130" s="37" t="s">
        <v>826</v>
      </c>
      <c r="C130" s="37" t="s">
        <v>981</v>
      </c>
      <c r="D130" s="37" t="s">
        <v>148</v>
      </c>
      <c r="E130" s="37" t="s">
        <v>980</v>
      </c>
      <c r="F130" s="37" t="s">
        <v>822</v>
      </c>
      <c r="G130" s="37" t="s">
        <v>1086</v>
      </c>
      <c r="H130" s="37" t="s">
        <v>1085</v>
      </c>
      <c r="I130" s="37" t="s">
        <v>819</v>
      </c>
      <c r="K130" s="66">
        <f t="shared" si="1"/>
        <v>2400000</v>
      </c>
    </row>
    <row r="131" spans="1:11" x14ac:dyDescent="0.3">
      <c r="A131" s="37" t="s">
        <v>1084</v>
      </c>
      <c r="B131" s="37" t="s">
        <v>826</v>
      </c>
      <c r="C131" s="37" t="s">
        <v>881</v>
      </c>
      <c r="D131" s="37" t="s">
        <v>880</v>
      </c>
      <c r="E131" s="37" t="s">
        <v>879</v>
      </c>
      <c r="F131" s="37" t="s">
        <v>822</v>
      </c>
      <c r="G131" s="37" t="s">
        <v>821</v>
      </c>
      <c r="H131" s="37" t="s">
        <v>985</v>
      </c>
      <c r="I131" s="37" t="s">
        <v>819</v>
      </c>
      <c r="K131" s="66">
        <f t="shared" ref="K131:K194" si="2">H131*1</f>
        <v>33000</v>
      </c>
    </row>
    <row r="132" spans="1:11" x14ac:dyDescent="0.3">
      <c r="A132" s="37" t="s">
        <v>1083</v>
      </c>
      <c r="B132" s="37" t="s">
        <v>826</v>
      </c>
      <c r="C132" s="37" t="s">
        <v>652</v>
      </c>
      <c r="D132" s="37" t="s">
        <v>961</v>
      </c>
      <c r="E132" s="37" t="s">
        <v>960</v>
      </c>
      <c r="F132" s="37" t="s">
        <v>822</v>
      </c>
      <c r="G132" s="37" t="s">
        <v>821</v>
      </c>
      <c r="H132" s="37" t="s">
        <v>1082</v>
      </c>
      <c r="I132" s="37" t="s">
        <v>819</v>
      </c>
      <c r="K132" s="66">
        <f t="shared" si="2"/>
        <v>5500</v>
      </c>
    </row>
    <row r="133" spans="1:11" x14ac:dyDescent="0.3">
      <c r="A133" s="37" t="s">
        <v>1080</v>
      </c>
      <c r="B133" s="37" t="s">
        <v>826</v>
      </c>
      <c r="C133" s="37" t="s">
        <v>981</v>
      </c>
      <c r="D133" s="37" t="s">
        <v>148</v>
      </c>
      <c r="E133" s="37" t="s">
        <v>980</v>
      </c>
      <c r="F133" s="37" t="s">
        <v>822</v>
      </c>
      <c r="G133" s="37" t="s">
        <v>821</v>
      </c>
      <c r="H133" s="37" t="s">
        <v>1081</v>
      </c>
      <c r="I133" s="37" t="s">
        <v>819</v>
      </c>
      <c r="K133" s="66">
        <f t="shared" si="2"/>
        <v>21600</v>
      </c>
    </row>
    <row r="134" spans="1:11" x14ac:dyDescent="0.3">
      <c r="A134" s="37" t="s">
        <v>1080</v>
      </c>
      <c r="B134" s="37" t="s">
        <v>826</v>
      </c>
      <c r="C134" s="37" t="s">
        <v>1079</v>
      </c>
      <c r="D134" s="37" t="s">
        <v>135</v>
      </c>
      <c r="E134" s="37" t="s">
        <v>1078</v>
      </c>
      <c r="F134" s="37" t="s">
        <v>822</v>
      </c>
      <c r="G134" s="37" t="s">
        <v>821</v>
      </c>
      <c r="H134" s="37" t="s">
        <v>1077</v>
      </c>
      <c r="I134" s="37" t="s">
        <v>819</v>
      </c>
      <c r="K134" s="66">
        <f t="shared" si="2"/>
        <v>14930</v>
      </c>
    </row>
    <row r="135" spans="1:11" x14ac:dyDescent="0.3">
      <c r="A135" s="37" t="s">
        <v>1075</v>
      </c>
      <c r="B135" s="37" t="s">
        <v>826</v>
      </c>
      <c r="C135" s="37" t="s">
        <v>886</v>
      </c>
      <c r="D135" s="37" t="s">
        <v>885</v>
      </c>
      <c r="E135" s="37" t="s">
        <v>884</v>
      </c>
      <c r="F135" s="37" t="s">
        <v>822</v>
      </c>
      <c r="G135" s="37" t="s">
        <v>821</v>
      </c>
      <c r="H135" s="37" t="s">
        <v>1076</v>
      </c>
      <c r="I135" s="37" t="s">
        <v>819</v>
      </c>
      <c r="K135" s="66">
        <f t="shared" si="2"/>
        <v>133660</v>
      </c>
    </row>
    <row r="136" spans="1:11" x14ac:dyDescent="0.3">
      <c r="A136" s="37" t="s">
        <v>1075</v>
      </c>
      <c r="B136" s="37" t="s">
        <v>826</v>
      </c>
      <c r="C136" s="37" t="s">
        <v>1074</v>
      </c>
      <c r="D136" s="37" t="s">
        <v>1073</v>
      </c>
      <c r="E136" s="37" t="s">
        <v>1072</v>
      </c>
      <c r="F136" s="37" t="s">
        <v>822</v>
      </c>
      <c r="G136" s="37" t="s">
        <v>821</v>
      </c>
      <c r="H136" s="37" t="s">
        <v>1071</v>
      </c>
      <c r="I136" s="37" t="s">
        <v>819</v>
      </c>
      <c r="K136" s="66">
        <f t="shared" si="2"/>
        <v>14000</v>
      </c>
    </row>
    <row r="137" spans="1:11" x14ac:dyDescent="0.3">
      <c r="A137" s="37" t="s">
        <v>1070</v>
      </c>
      <c r="B137" s="37" t="s">
        <v>826</v>
      </c>
      <c r="C137" s="37" t="s">
        <v>114</v>
      </c>
      <c r="D137" s="37" t="s">
        <v>115</v>
      </c>
      <c r="E137" s="37" t="s">
        <v>866</v>
      </c>
      <c r="F137" s="37" t="s">
        <v>822</v>
      </c>
      <c r="G137" s="37" t="s">
        <v>821</v>
      </c>
      <c r="H137" s="37" t="s">
        <v>1069</v>
      </c>
      <c r="I137" s="37" t="s">
        <v>819</v>
      </c>
      <c r="K137" s="66">
        <f t="shared" si="2"/>
        <v>144040</v>
      </c>
    </row>
    <row r="138" spans="1:11" x14ac:dyDescent="0.3">
      <c r="A138" s="37" t="s">
        <v>1068</v>
      </c>
      <c r="B138" s="37" t="s">
        <v>826</v>
      </c>
      <c r="C138" s="37" t="s">
        <v>1067</v>
      </c>
      <c r="D138" s="37" t="s">
        <v>135</v>
      </c>
      <c r="E138" s="37" t="s">
        <v>1066</v>
      </c>
      <c r="F138" s="37" t="s">
        <v>822</v>
      </c>
      <c r="G138" s="37" t="s">
        <v>821</v>
      </c>
      <c r="H138" s="37" t="s">
        <v>1065</v>
      </c>
      <c r="I138" s="37" t="s">
        <v>819</v>
      </c>
      <c r="K138" s="66">
        <f t="shared" si="2"/>
        <v>38000</v>
      </c>
    </row>
    <row r="139" spans="1:11" x14ac:dyDescent="0.3">
      <c r="A139" s="37" t="s">
        <v>1054</v>
      </c>
      <c r="B139" s="37" t="s">
        <v>826</v>
      </c>
      <c r="C139" s="37" t="s">
        <v>857</v>
      </c>
      <c r="D139" s="37" t="s">
        <v>856</v>
      </c>
      <c r="E139" s="37" t="s">
        <v>855</v>
      </c>
      <c r="F139" s="37" t="s">
        <v>822</v>
      </c>
      <c r="G139" s="37" t="s">
        <v>821</v>
      </c>
      <c r="H139" s="37" t="s">
        <v>1064</v>
      </c>
      <c r="I139" s="37" t="s">
        <v>819</v>
      </c>
      <c r="K139" s="66">
        <f t="shared" si="2"/>
        <v>64410</v>
      </c>
    </row>
    <row r="140" spans="1:11" x14ac:dyDescent="0.3">
      <c r="A140" s="37" t="s">
        <v>1054</v>
      </c>
      <c r="B140" s="37" t="s">
        <v>826</v>
      </c>
      <c r="C140" s="37" t="s">
        <v>1063</v>
      </c>
      <c r="D140" s="37" t="s">
        <v>1062</v>
      </c>
      <c r="E140" s="37" t="s">
        <v>1061</v>
      </c>
      <c r="F140" s="37" t="s">
        <v>822</v>
      </c>
      <c r="G140" s="37" t="s">
        <v>821</v>
      </c>
      <c r="H140" s="37" t="s">
        <v>1060</v>
      </c>
      <c r="I140" s="37" t="s">
        <v>819</v>
      </c>
      <c r="K140" s="66">
        <f t="shared" si="2"/>
        <v>21260</v>
      </c>
    </row>
    <row r="141" spans="1:11" x14ac:dyDescent="0.3">
      <c r="A141" s="37" t="s">
        <v>1054</v>
      </c>
      <c r="B141" s="37" t="s">
        <v>826</v>
      </c>
      <c r="C141" s="37" t="s">
        <v>608</v>
      </c>
      <c r="D141" s="37" t="s">
        <v>148</v>
      </c>
      <c r="E141" s="37" t="s">
        <v>967</v>
      </c>
      <c r="F141" s="37" t="s">
        <v>822</v>
      </c>
      <c r="G141" s="37" t="s">
        <v>821</v>
      </c>
      <c r="H141" s="37" t="s">
        <v>1022</v>
      </c>
      <c r="I141" s="37" t="s">
        <v>819</v>
      </c>
      <c r="K141" s="66">
        <f t="shared" si="2"/>
        <v>13682</v>
      </c>
    </row>
    <row r="142" spans="1:11" x14ac:dyDescent="0.3">
      <c r="A142" s="37" t="s">
        <v>1054</v>
      </c>
      <c r="B142" s="37" t="s">
        <v>826</v>
      </c>
      <c r="C142" s="37" t="s">
        <v>852</v>
      </c>
      <c r="D142" s="37" t="s">
        <v>851</v>
      </c>
      <c r="E142" s="37" t="s">
        <v>850</v>
      </c>
      <c r="F142" s="37" t="s">
        <v>822</v>
      </c>
      <c r="G142" s="37" t="s">
        <v>821</v>
      </c>
      <c r="H142" s="37" t="s">
        <v>1059</v>
      </c>
      <c r="I142" s="37" t="s">
        <v>819</v>
      </c>
      <c r="K142" s="66">
        <f t="shared" si="2"/>
        <v>39100</v>
      </c>
    </row>
    <row r="143" spans="1:11" x14ac:dyDescent="0.3">
      <c r="A143" s="37" t="s">
        <v>1054</v>
      </c>
      <c r="B143" s="37" t="s">
        <v>826</v>
      </c>
      <c r="C143" s="37" t="s">
        <v>1058</v>
      </c>
      <c r="D143" s="37" t="s">
        <v>1057</v>
      </c>
      <c r="E143" s="37" t="s">
        <v>1056</v>
      </c>
      <c r="F143" s="37" t="s">
        <v>822</v>
      </c>
      <c r="G143" s="37" t="s">
        <v>821</v>
      </c>
      <c r="H143" s="37" t="s">
        <v>1055</v>
      </c>
      <c r="I143" s="37" t="s">
        <v>819</v>
      </c>
      <c r="K143" s="66">
        <f t="shared" si="2"/>
        <v>41500</v>
      </c>
    </row>
    <row r="144" spans="1:11" x14ac:dyDescent="0.3">
      <c r="A144" s="37" t="s">
        <v>1054</v>
      </c>
      <c r="B144" s="37" t="s">
        <v>826</v>
      </c>
      <c r="C144" s="37" t="s">
        <v>660</v>
      </c>
      <c r="D144" s="37" t="s">
        <v>837</v>
      </c>
      <c r="E144" s="37" t="s">
        <v>836</v>
      </c>
      <c r="F144" s="37" t="s">
        <v>822</v>
      </c>
      <c r="G144" s="37" t="s">
        <v>821</v>
      </c>
      <c r="H144" s="37" t="s">
        <v>1053</v>
      </c>
      <c r="I144" s="37" t="s">
        <v>819</v>
      </c>
      <c r="K144" s="66">
        <f t="shared" si="2"/>
        <v>3700</v>
      </c>
    </row>
    <row r="145" spans="1:11" x14ac:dyDescent="0.3">
      <c r="A145" s="37" t="s">
        <v>1052</v>
      </c>
      <c r="B145" s="37" t="s">
        <v>826</v>
      </c>
      <c r="C145" s="37" t="s">
        <v>871</v>
      </c>
      <c r="D145" s="37" t="s">
        <v>870</v>
      </c>
      <c r="E145" s="37" t="s">
        <v>869</v>
      </c>
      <c r="F145" s="37" t="s">
        <v>822</v>
      </c>
      <c r="G145" s="37" t="s">
        <v>821</v>
      </c>
      <c r="H145" s="37" t="s">
        <v>1051</v>
      </c>
      <c r="I145" s="37" t="s">
        <v>819</v>
      </c>
      <c r="K145" s="66">
        <f t="shared" si="2"/>
        <v>54900</v>
      </c>
    </row>
    <row r="146" spans="1:11" x14ac:dyDescent="0.3">
      <c r="A146" s="37" t="s">
        <v>1049</v>
      </c>
      <c r="B146" s="37" t="s">
        <v>826</v>
      </c>
      <c r="C146" s="37" t="s">
        <v>55</v>
      </c>
      <c r="D146" s="37" t="s">
        <v>56</v>
      </c>
      <c r="E146" s="37" t="s">
        <v>915</v>
      </c>
      <c r="F146" s="37" t="s">
        <v>822</v>
      </c>
      <c r="G146" s="37" t="s">
        <v>821</v>
      </c>
      <c r="H146" s="37" t="s">
        <v>1050</v>
      </c>
      <c r="I146" s="37" t="s">
        <v>819</v>
      </c>
      <c r="K146" s="66">
        <f t="shared" si="2"/>
        <v>25000</v>
      </c>
    </row>
    <row r="147" spans="1:11" x14ac:dyDescent="0.3">
      <c r="A147" s="37" t="s">
        <v>1049</v>
      </c>
      <c r="B147" s="37" t="s">
        <v>826</v>
      </c>
      <c r="C147" s="37" t="s">
        <v>831</v>
      </c>
      <c r="D147" s="37" t="s">
        <v>830</v>
      </c>
      <c r="E147" s="37" t="s">
        <v>829</v>
      </c>
      <c r="F147" s="37" t="s">
        <v>822</v>
      </c>
      <c r="G147" s="37" t="s">
        <v>821</v>
      </c>
      <c r="H147" s="37" t="s">
        <v>1048</v>
      </c>
      <c r="I147" s="37" t="s">
        <v>819</v>
      </c>
      <c r="K147" s="66">
        <f t="shared" si="2"/>
        <v>14200</v>
      </c>
    </row>
    <row r="148" spans="1:11" x14ac:dyDescent="0.3">
      <c r="A148" s="37" t="s">
        <v>1047</v>
      </c>
      <c r="B148" s="37" t="s">
        <v>826</v>
      </c>
      <c r="C148" s="37" t="s">
        <v>608</v>
      </c>
      <c r="D148" s="37" t="s">
        <v>148</v>
      </c>
      <c r="E148" s="37" t="s">
        <v>967</v>
      </c>
      <c r="F148" s="37" t="s">
        <v>822</v>
      </c>
      <c r="G148" s="37" t="s">
        <v>821</v>
      </c>
      <c r="H148" s="37" t="s">
        <v>1046</v>
      </c>
      <c r="I148" s="37" t="s">
        <v>819</v>
      </c>
      <c r="K148" s="66">
        <f t="shared" si="2"/>
        <v>13702</v>
      </c>
    </row>
    <row r="149" spans="1:11" x14ac:dyDescent="0.3">
      <c r="A149" s="37" t="s">
        <v>1043</v>
      </c>
      <c r="B149" s="37" t="s">
        <v>826</v>
      </c>
      <c r="C149" s="37" t="s">
        <v>114</v>
      </c>
      <c r="D149" s="37" t="s">
        <v>115</v>
      </c>
      <c r="E149" s="37" t="s">
        <v>866</v>
      </c>
      <c r="F149" s="37" t="s">
        <v>822</v>
      </c>
      <c r="G149" s="37" t="s">
        <v>821</v>
      </c>
      <c r="H149" s="37" t="s">
        <v>1045</v>
      </c>
      <c r="I149" s="37" t="s">
        <v>819</v>
      </c>
      <c r="K149" s="66">
        <f t="shared" si="2"/>
        <v>102460</v>
      </c>
    </row>
    <row r="150" spans="1:11" x14ac:dyDescent="0.3">
      <c r="A150" s="37" t="s">
        <v>1043</v>
      </c>
      <c r="B150" s="37" t="s">
        <v>826</v>
      </c>
      <c r="C150" s="37" t="s">
        <v>652</v>
      </c>
      <c r="D150" s="37" t="s">
        <v>961</v>
      </c>
      <c r="E150" s="37" t="s">
        <v>960</v>
      </c>
      <c r="F150" s="37" t="s">
        <v>822</v>
      </c>
      <c r="G150" s="37" t="s">
        <v>821</v>
      </c>
      <c r="H150" s="37" t="s">
        <v>1044</v>
      </c>
      <c r="I150" s="37" t="s">
        <v>819</v>
      </c>
      <c r="K150" s="66">
        <f t="shared" si="2"/>
        <v>600</v>
      </c>
    </row>
    <row r="151" spans="1:11" x14ac:dyDescent="0.3">
      <c r="A151" s="37" t="s">
        <v>1043</v>
      </c>
      <c r="B151" s="37" t="s">
        <v>826</v>
      </c>
      <c r="C151" s="37" t="s">
        <v>652</v>
      </c>
      <c r="D151" s="37" t="s">
        <v>961</v>
      </c>
      <c r="E151" s="37" t="s">
        <v>960</v>
      </c>
      <c r="F151" s="37" t="s">
        <v>822</v>
      </c>
      <c r="G151" s="37" t="s">
        <v>821</v>
      </c>
      <c r="H151" s="37" t="s">
        <v>1042</v>
      </c>
      <c r="I151" s="37" t="s">
        <v>819</v>
      </c>
      <c r="K151" s="66">
        <f t="shared" si="2"/>
        <v>1300</v>
      </c>
    </row>
    <row r="152" spans="1:11" x14ac:dyDescent="0.3">
      <c r="A152" s="37" t="s">
        <v>1037</v>
      </c>
      <c r="B152" s="37" t="s">
        <v>826</v>
      </c>
      <c r="C152" s="37" t="s">
        <v>831</v>
      </c>
      <c r="D152" s="37" t="s">
        <v>830</v>
      </c>
      <c r="E152" s="37" t="s">
        <v>829</v>
      </c>
      <c r="F152" s="37" t="s">
        <v>822</v>
      </c>
      <c r="G152" s="37" t="s">
        <v>821</v>
      </c>
      <c r="H152" s="37" t="s">
        <v>1041</v>
      </c>
      <c r="I152" s="37" t="s">
        <v>819</v>
      </c>
      <c r="K152" s="66">
        <f t="shared" si="2"/>
        <v>5400</v>
      </c>
    </row>
    <row r="153" spans="1:11" x14ac:dyDescent="0.3">
      <c r="A153" s="37" t="s">
        <v>1037</v>
      </c>
      <c r="B153" s="37" t="s">
        <v>826</v>
      </c>
      <c r="C153" s="37" t="s">
        <v>1040</v>
      </c>
      <c r="D153" s="37" t="s">
        <v>1039</v>
      </c>
      <c r="E153" s="37" t="s">
        <v>1038</v>
      </c>
      <c r="F153" s="37" t="s">
        <v>822</v>
      </c>
      <c r="G153" s="37" t="s">
        <v>821</v>
      </c>
      <c r="H153" s="37" t="s">
        <v>849</v>
      </c>
      <c r="I153" s="37" t="s">
        <v>819</v>
      </c>
      <c r="K153" s="66">
        <f t="shared" si="2"/>
        <v>7500</v>
      </c>
    </row>
    <row r="154" spans="1:11" x14ac:dyDescent="0.3">
      <c r="A154" s="37" t="s">
        <v>1037</v>
      </c>
      <c r="B154" s="37" t="s">
        <v>826</v>
      </c>
      <c r="C154" s="37" t="s">
        <v>1036</v>
      </c>
      <c r="D154" s="37" t="s">
        <v>1035</v>
      </c>
      <c r="E154" s="37" t="s">
        <v>1034</v>
      </c>
      <c r="F154" s="37" t="s">
        <v>822</v>
      </c>
      <c r="G154" s="37" t="s">
        <v>821</v>
      </c>
      <c r="H154" s="37" t="s">
        <v>904</v>
      </c>
      <c r="I154" s="37" t="s">
        <v>819</v>
      </c>
      <c r="K154" s="66">
        <f t="shared" si="2"/>
        <v>6500</v>
      </c>
    </row>
    <row r="155" spans="1:11" x14ac:dyDescent="0.3">
      <c r="A155" s="37" t="s">
        <v>1028</v>
      </c>
      <c r="B155" s="37" t="s">
        <v>826</v>
      </c>
      <c r="C155" s="37" t="s">
        <v>825</v>
      </c>
      <c r="D155" s="37" t="s">
        <v>824</v>
      </c>
      <c r="E155" s="37" t="s">
        <v>823</v>
      </c>
      <c r="F155" s="37" t="s">
        <v>822</v>
      </c>
      <c r="G155" s="37" t="s">
        <v>821</v>
      </c>
      <c r="H155" s="37" t="s">
        <v>1033</v>
      </c>
      <c r="I155" s="37" t="s">
        <v>819</v>
      </c>
      <c r="K155" s="66">
        <f t="shared" si="2"/>
        <v>75640</v>
      </c>
    </row>
    <row r="156" spans="1:11" x14ac:dyDescent="0.3">
      <c r="A156" s="37" t="s">
        <v>1028</v>
      </c>
      <c r="B156" s="37" t="s">
        <v>826</v>
      </c>
      <c r="C156" s="37" t="s">
        <v>1032</v>
      </c>
      <c r="D156" s="37" t="s">
        <v>1031</v>
      </c>
      <c r="E156" s="37" t="s">
        <v>1030</v>
      </c>
      <c r="F156" s="37" t="s">
        <v>822</v>
      </c>
      <c r="G156" s="37" t="s">
        <v>821</v>
      </c>
      <c r="H156" s="37" t="s">
        <v>1029</v>
      </c>
      <c r="I156" s="37" t="s">
        <v>819</v>
      </c>
      <c r="K156" s="66">
        <f t="shared" si="2"/>
        <v>6400</v>
      </c>
    </row>
    <row r="157" spans="1:11" x14ac:dyDescent="0.3">
      <c r="A157" s="37" t="s">
        <v>1028</v>
      </c>
      <c r="B157" s="37" t="s">
        <v>826</v>
      </c>
      <c r="C157" s="37" t="s">
        <v>1027</v>
      </c>
      <c r="D157" s="37" t="s">
        <v>1026</v>
      </c>
      <c r="E157" s="37" t="s">
        <v>1025</v>
      </c>
      <c r="F157" s="37" t="s">
        <v>822</v>
      </c>
      <c r="G157" s="37" t="s">
        <v>821</v>
      </c>
      <c r="H157" s="37" t="s">
        <v>1024</v>
      </c>
      <c r="I157" s="37" t="s">
        <v>819</v>
      </c>
      <c r="K157" s="66">
        <f t="shared" si="2"/>
        <v>9800</v>
      </c>
    </row>
    <row r="158" spans="1:11" x14ac:dyDescent="0.3">
      <c r="A158" s="37" t="s">
        <v>1023</v>
      </c>
      <c r="B158" s="37" t="s">
        <v>826</v>
      </c>
      <c r="C158" s="37" t="s">
        <v>608</v>
      </c>
      <c r="D158" s="37" t="s">
        <v>148</v>
      </c>
      <c r="E158" s="37" t="s">
        <v>967</v>
      </c>
      <c r="F158" s="37" t="s">
        <v>822</v>
      </c>
      <c r="G158" s="37" t="s">
        <v>821</v>
      </c>
      <c r="H158" s="37" t="s">
        <v>1022</v>
      </c>
      <c r="I158" s="37" t="s">
        <v>819</v>
      </c>
      <c r="K158" s="66">
        <f t="shared" si="2"/>
        <v>13682</v>
      </c>
    </row>
    <row r="159" spans="1:11" x14ac:dyDescent="0.3">
      <c r="A159" s="37" t="s">
        <v>1021</v>
      </c>
      <c r="B159" s="37" t="s">
        <v>826</v>
      </c>
      <c r="C159" s="37" t="s">
        <v>831</v>
      </c>
      <c r="D159" s="37" t="s">
        <v>830</v>
      </c>
      <c r="E159" s="37" t="s">
        <v>829</v>
      </c>
      <c r="F159" s="37" t="s">
        <v>822</v>
      </c>
      <c r="G159" s="37" t="s">
        <v>821</v>
      </c>
      <c r="H159" s="37" t="s">
        <v>1020</v>
      </c>
      <c r="I159" s="37" t="s">
        <v>819</v>
      </c>
      <c r="K159" s="66">
        <f t="shared" si="2"/>
        <v>12000</v>
      </c>
    </row>
    <row r="160" spans="1:11" x14ac:dyDescent="0.3">
      <c r="A160" s="37" t="s">
        <v>1018</v>
      </c>
      <c r="B160" s="37" t="s">
        <v>826</v>
      </c>
      <c r="C160" s="37" t="s">
        <v>886</v>
      </c>
      <c r="D160" s="37" t="s">
        <v>885</v>
      </c>
      <c r="E160" s="37" t="s">
        <v>884</v>
      </c>
      <c r="F160" s="37" t="s">
        <v>822</v>
      </c>
      <c r="G160" s="37" t="s">
        <v>821</v>
      </c>
      <c r="H160" s="37" t="s">
        <v>1019</v>
      </c>
      <c r="I160" s="37" t="s">
        <v>819</v>
      </c>
      <c r="K160" s="66">
        <f t="shared" si="2"/>
        <v>124340</v>
      </c>
    </row>
    <row r="161" spans="1:11" x14ac:dyDescent="0.3">
      <c r="A161" s="37" t="s">
        <v>1018</v>
      </c>
      <c r="B161" s="37" t="s">
        <v>826</v>
      </c>
      <c r="C161" s="37" t="s">
        <v>80</v>
      </c>
      <c r="D161" s="37" t="s">
        <v>81</v>
      </c>
      <c r="E161" s="37" t="s">
        <v>889</v>
      </c>
      <c r="F161" s="37" t="s">
        <v>822</v>
      </c>
      <c r="G161" s="37" t="s">
        <v>821</v>
      </c>
      <c r="H161" s="37" t="s">
        <v>1017</v>
      </c>
      <c r="I161" s="37" t="s">
        <v>819</v>
      </c>
      <c r="K161" s="66">
        <f t="shared" si="2"/>
        <v>17800</v>
      </c>
    </row>
    <row r="162" spans="1:11" x14ac:dyDescent="0.3">
      <c r="A162" s="37" t="s">
        <v>1016</v>
      </c>
      <c r="B162" s="37" t="s">
        <v>826</v>
      </c>
      <c r="C162" s="37" t="s">
        <v>608</v>
      </c>
      <c r="D162" s="37" t="s">
        <v>148</v>
      </c>
      <c r="E162" s="37" t="s">
        <v>967</v>
      </c>
      <c r="F162" s="37" t="s">
        <v>822</v>
      </c>
      <c r="G162" s="37" t="s">
        <v>821</v>
      </c>
      <c r="H162" s="37" t="s">
        <v>1015</v>
      </c>
      <c r="I162" s="37" t="s">
        <v>819</v>
      </c>
      <c r="K162" s="66">
        <f t="shared" si="2"/>
        <v>12662</v>
      </c>
    </row>
    <row r="163" spans="1:11" x14ac:dyDescent="0.3">
      <c r="A163" s="37" t="s">
        <v>1014</v>
      </c>
      <c r="B163" s="37" t="s">
        <v>826</v>
      </c>
      <c r="C163" s="37" t="s">
        <v>652</v>
      </c>
      <c r="D163" s="37" t="s">
        <v>961</v>
      </c>
      <c r="E163" s="37" t="s">
        <v>960</v>
      </c>
      <c r="F163" s="37" t="s">
        <v>822</v>
      </c>
      <c r="G163" s="37" t="s">
        <v>821</v>
      </c>
      <c r="H163" s="37" t="s">
        <v>1013</v>
      </c>
      <c r="I163" s="37" t="s">
        <v>819</v>
      </c>
      <c r="K163" s="66">
        <f t="shared" si="2"/>
        <v>3500</v>
      </c>
    </row>
    <row r="164" spans="1:11" x14ac:dyDescent="0.3">
      <c r="A164" s="37" t="s">
        <v>1009</v>
      </c>
      <c r="B164" s="37" t="s">
        <v>826</v>
      </c>
      <c r="C164" s="37" t="s">
        <v>1012</v>
      </c>
      <c r="D164" s="37" t="s">
        <v>135</v>
      </c>
      <c r="E164" s="37" t="s">
        <v>1011</v>
      </c>
      <c r="F164" s="37" t="s">
        <v>822</v>
      </c>
      <c r="G164" s="37" t="s">
        <v>821</v>
      </c>
      <c r="H164" s="37" t="s">
        <v>1010</v>
      </c>
      <c r="I164" s="37" t="s">
        <v>819</v>
      </c>
      <c r="K164" s="66">
        <f t="shared" si="2"/>
        <v>22000</v>
      </c>
    </row>
    <row r="165" spans="1:11" x14ac:dyDescent="0.3">
      <c r="A165" s="37" t="s">
        <v>1009</v>
      </c>
      <c r="B165" s="37" t="s">
        <v>826</v>
      </c>
      <c r="C165" s="37" t="s">
        <v>831</v>
      </c>
      <c r="D165" s="37" t="s">
        <v>830</v>
      </c>
      <c r="E165" s="37" t="s">
        <v>829</v>
      </c>
      <c r="F165" s="37" t="s">
        <v>822</v>
      </c>
      <c r="G165" s="37" t="s">
        <v>821</v>
      </c>
      <c r="H165" s="37" t="s">
        <v>983</v>
      </c>
      <c r="I165" s="37" t="s">
        <v>819</v>
      </c>
      <c r="K165" s="66">
        <f t="shared" si="2"/>
        <v>14900</v>
      </c>
    </row>
    <row r="166" spans="1:11" x14ac:dyDescent="0.3">
      <c r="A166" s="37" t="s">
        <v>1008</v>
      </c>
      <c r="B166" s="37" t="s">
        <v>826</v>
      </c>
      <c r="C166" s="37" t="s">
        <v>989</v>
      </c>
      <c r="D166" s="37" t="s">
        <v>898</v>
      </c>
      <c r="E166" s="37" t="s">
        <v>988</v>
      </c>
      <c r="F166" s="37" t="s">
        <v>822</v>
      </c>
      <c r="G166" s="37" t="s">
        <v>821</v>
      </c>
      <c r="H166" s="37" t="s">
        <v>1007</v>
      </c>
      <c r="I166" s="37" t="s">
        <v>819</v>
      </c>
      <c r="K166" s="66">
        <f t="shared" si="2"/>
        <v>14500</v>
      </c>
    </row>
    <row r="167" spans="1:11" x14ac:dyDescent="0.3">
      <c r="A167" s="37" t="s">
        <v>1006</v>
      </c>
      <c r="B167" s="37" t="s">
        <v>826</v>
      </c>
      <c r="C167" s="37" t="s">
        <v>608</v>
      </c>
      <c r="D167" s="37" t="s">
        <v>148</v>
      </c>
      <c r="E167" s="37" t="s">
        <v>967</v>
      </c>
      <c r="F167" s="37" t="s">
        <v>822</v>
      </c>
      <c r="G167" s="37" t="s">
        <v>821</v>
      </c>
      <c r="H167" s="37" t="s">
        <v>1005</v>
      </c>
      <c r="I167" s="37" t="s">
        <v>819</v>
      </c>
      <c r="K167" s="66">
        <f t="shared" si="2"/>
        <v>13662</v>
      </c>
    </row>
    <row r="168" spans="1:11" x14ac:dyDescent="0.3">
      <c r="A168" s="37" t="s">
        <v>1004</v>
      </c>
      <c r="B168" s="37" t="s">
        <v>826</v>
      </c>
      <c r="C168" s="37" t="s">
        <v>1003</v>
      </c>
      <c r="D168" s="37" t="s">
        <v>1002</v>
      </c>
      <c r="E168" s="37" t="s">
        <v>1001</v>
      </c>
      <c r="F168" s="37" t="s">
        <v>822</v>
      </c>
      <c r="G168" s="37" t="s">
        <v>821</v>
      </c>
      <c r="H168" s="37" t="s">
        <v>847</v>
      </c>
      <c r="I168" s="37" t="s">
        <v>819</v>
      </c>
      <c r="K168" s="66">
        <f t="shared" si="2"/>
        <v>4600</v>
      </c>
    </row>
    <row r="169" spans="1:11" x14ac:dyDescent="0.3">
      <c r="A169" s="37" t="s">
        <v>1000</v>
      </c>
      <c r="B169" s="37" t="s">
        <v>826</v>
      </c>
      <c r="C169" s="37" t="s">
        <v>857</v>
      </c>
      <c r="D169" s="37" t="s">
        <v>856</v>
      </c>
      <c r="E169" s="37" t="s">
        <v>855</v>
      </c>
      <c r="F169" s="37" t="s">
        <v>822</v>
      </c>
      <c r="G169" s="37" t="s">
        <v>821</v>
      </c>
      <c r="H169" s="37" t="s">
        <v>999</v>
      </c>
      <c r="I169" s="37" t="s">
        <v>819</v>
      </c>
      <c r="K169" s="66">
        <f t="shared" si="2"/>
        <v>75330</v>
      </c>
    </row>
    <row r="170" spans="1:11" x14ac:dyDescent="0.3">
      <c r="A170" s="37" t="s">
        <v>997</v>
      </c>
      <c r="B170" s="37" t="s">
        <v>826</v>
      </c>
      <c r="C170" s="37" t="s">
        <v>852</v>
      </c>
      <c r="D170" s="37" t="s">
        <v>851</v>
      </c>
      <c r="E170" s="37" t="s">
        <v>850</v>
      </c>
      <c r="F170" s="37" t="s">
        <v>822</v>
      </c>
      <c r="G170" s="37" t="s">
        <v>821</v>
      </c>
      <c r="H170" s="37" t="s">
        <v>998</v>
      </c>
      <c r="I170" s="37" t="s">
        <v>819</v>
      </c>
      <c r="K170" s="66">
        <f t="shared" si="2"/>
        <v>4400</v>
      </c>
    </row>
    <row r="171" spans="1:11" x14ac:dyDescent="0.3">
      <c r="A171" s="37" t="s">
        <v>997</v>
      </c>
      <c r="B171" s="37" t="s">
        <v>826</v>
      </c>
      <c r="C171" s="37" t="s">
        <v>660</v>
      </c>
      <c r="D171" s="37" t="s">
        <v>837</v>
      </c>
      <c r="E171" s="37" t="s">
        <v>836</v>
      </c>
      <c r="F171" s="37" t="s">
        <v>822</v>
      </c>
      <c r="G171" s="37" t="s">
        <v>821</v>
      </c>
      <c r="H171" s="37" t="s">
        <v>996</v>
      </c>
      <c r="I171" s="37" t="s">
        <v>819</v>
      </c>
      <c r="K171" s="66">
        <f t="shared" si="2"/>
        <v>5200</v>
      </c>
    </row>
    <row r="172" spans="1:11" x14ac:dyDescent="0.3">
      <c r="A172" s="37" t="s">
        <v>994</v>
      </c>
      <c r="B172" s="37" t="s">
        <v>826</v>
      </c>
      <c r="C172" s="37" t="s">
        <v>608</v>
      </c>
      <c r="D172" s="37" t="s">
        <v>148</v>
      </c>
      <c r="E172" s="37" t="s">
        <v>967</v>
      </c>
      <c r="F172" s="37" t="s">
        <v>822</v>
      </c>
      <c r="G172" s="37" t="s">
        <v>821</v>
      </c>
      <c r="H172" s="37" t="s">
        <v>995</v>
      </c>
      <c r="I172" s="37" t="s">
        <v>819</v>
      </c>
      <c r="K172" s="66">
        <f t="shared" si="2"/>
        <v>14668</v>
      </c>
    </row>
    <row r="173" spans="1:11" x14ac:dyDescent="0.3">
      <c r="A173" s="37" t="s">
        <v>994</v>
      </c>
      <c r="B173" s="37" t="s">
        <v>826</v>
      </c>
      <c r="C173" s="37" t="s">
        <v>920</v>
      </c>
      <c r="D173" s="37" t="s">
        <v>919</v>
      </c>
      <c r="E173" s="37" t="s">
        <v>918</v>
      </c>
      <c r="F173" s="37" t="s">
        <v>822</v>
      </c>
      <c r="G173" s="37" t="s">
        <v>821</v>
      </c>
      <c r="H173" s="37" t="s">
        <v>993</v>
      </c>
      <c r="I173" s="37" t="s">
        <v>819</v>
      </c>
      <c r="K173" s="66">
        <f t="shared" si="2"/>
        <v>108070</v>
      </c>
    </row>
    <row r="174" spans="1:11" x14ac:dyDescent="0.3">
      <c r="A174" s="37" t="s">
        <v>992</v>
      </c>
      <c r="B174" s="37" t="s">
        <v>826</v>
      </c>
      <c r="C174" s="37" t="s">
        <v>652</v>
      </c>
      <c r="D174" s="37" t="s">
        <v>961</v>
      </c>
      <c r="E174" s="37" t="s">
        <v>960</v>
      </c>
      <c r="F174" s="37" t="s">
        <v>822</v>
      </c>
      <c r="G174" s="37" t="s">
        <v>821</v>
      </c>
      <c r="H174" s="37" t="s">
        <v>991</v>
      </c>
      <c r="I174" s="37" t="s">
        <v>819</v>
      </c>
      <c r="K174" s="66">
        <f t="shared" si="2"/>
        <v>17300</v>
      </c>
    </row>
    <row r="175" spans="1:11" x14ac:dyDescent="0.3">
      <c r="A175" s="37" t="s">
        <v>990</v>
      </c>
      <c r="B175" s="37" t="s">
        <v>826</v>
      </c>
      <c r="C175" s="37" t="s">
        <v>989</v>
      </c>
      <c r="D175" s="37" t="s">
        <v>898</v>
      </c>
      <c r="E175" s="37" t="s">
        <v>988</v>
      </c>
      <c r="F175" s="37" t="s">
        <v>822</v>
      </c>
      <c r="G175" s="37" t="s">
        <v>821</v>
      </c>
      <c r="H175" s="37" t="s">
        <v>987</v>
      </c>
      <c r="I175" s="37" t="s">
        <v>819</v>
      </c>
      <c r="K175" s="66">
        <f t="shared" si="2"/>
        <v>11250</v>
      </c>
    </row>
    <row r="176" spans="1:11" x14ac:dyDescent="0.3">
      <c r="A176" s="37" t="s">
        <v>986</v>
      </c>
      <c r="B176" s="37" t="s">
        <v>826</v>
      </c>
      <c r="C176" s="37" t="s">
        <v>881</v>
      </c>
      <c r="D176" s="37" t="s">
        <v>880</v>
      </c>
      <c r="E176" s="37" t="s">
        <v>879</v>
      </c>
      <c r="F176" s="37" t="s">
        <v>822</v>
      </c>
      <c r="G176" s="37" t="s">
        <v>821</v>
      </c>
      <c r="H176" s="37" t="s">
        <v>985</v>
      </c>
      <c r="I176" s="37" t="s">
        <v>819</v>
      </c>
      <c r="K176" s="66">
        <f t="shared" si="2"/>
        <v>33000</v>
      </c>
    </row>
    <row r="177" spans="1:11" x14ac:dyDescent="0.3">
      <c r="A177" s="37" t="s">
        <v>982</v>
      </c>
      <c r="B177" s="37" t="s">
        <v>826</v>
      </c>
      <c r="C177" s="37" t="s">
        <v>825</v>
      </c>
      <c r="D177" s="37" t="s">
        <v>824</v>
      </c>
      <c r="E177" s="37" t="s">
        <v>823</v>
      </c>
      <c r="F177" s="37" t="s">
        <v>822</v>
      </c>
      <c r="G177" s="37" t="s">
        <v>821</v>
      </c>
      <c r="H177" s="37" t="s">
        <v>984</v>
      </c>
      <c r="I177" s="37" t="s">
        <v>819</v>
      </c>
      <c r="K177" s="66">
        <f t="shared" si="2"/>
        <v>107350</v>
      </c>
    </row>
    <row r="178" spans="1:11" x14ac:dyDescent="0.3">
      <c r="A178" s="37" t="s">
        <v>982</v>
      </c>
      <c r="B178" s="37" t="s">
        <v>826</v>
      </c>
      <c r="C178" s="37" t="s">
        <v>608</v>
      </c>
      <c r="D178" s="37" t="s">
        <v>148</v>
      </c>
      <c r="E178" s="37" t="s">
        <v>967</v>
      </c>
      <c r="F178" s="37" t="s">
        <v>822</v>
      </c>
      <c r="G178" s="37" t="s">
        <v>821</v>
      </c>
      <c r="H178" s="37" t="s">
        <v>983</v>
      </c>
      <c r="I178" s="37" t="s">
        <v>819</v>
      </c>
      <c r="K178" s="66">
        <f t="shared" si="2"/>
        <v>14900</v>
      </c>
    </row>
    <row r="179" spans="1:11" x14ac:dyDescent="0.3">
      <c r="A179" s="37" t="s">
        <v>982</v>
      </c>
      <c r="B179" s="37" t="s">
        <v>826</v>
      </c>
      <c r="C179" s="37" t="s">
        <v>981</v>
      </c>
      <c r="D179" s="37" t="s">
        <v>148</v>
      </c>
      <c r="E179" s="37" t="s">
        <v>980</v>
      </c>
      <c r="F179" s="37" t="s">
        <v>822</v>
      </c>
      <c r="G179" s="37" t="s">
        <v>821</v>
      </c>
      <c r="H179" s="37" t="s">
        <v>979</v>
      </c>
      <c r="I179" s="37" t="s">
        <v>819</v>
      </c>
      <c r="K179" s="66">
        <f t="shared" si="2"/>
        <v>170000</v>
      </c>
    </row>
    <row r="180" spans="1:11" x14ac:dyDescent="0.3">
      <c r="A180" s="37" t="s">
        <v>978</v>
      </c>
      <c r="B180" s="37" t="s">
        <v>826</v>
      </c>
      <c r="C180" s="37" t="s">
        <v>920</v>
      </c>
      <c r="D180" s="37" t="s">
        <v>919</v>
      </c>
      <c r="E180" s="37" t="s">
        <v>918</v>
      </c>
      <c r="F180" s="37" t="s">
        <v>822</v>
      </c>
      <c r="G180" s="37" t="s">
        <v>821</v>
      </c>
      <c r="H180" s="37" t="s">
        <v>977</v>
      </c>
      <c r="I180" s="37" t="s">
        <v>819</v>
      </c>
      <c r="K180" s="66">
        <f t="shared" si="2"/>
        <v>28410</v>
      </c>
    </row>
    <row r="181" spans="1:11" x14ac:dyDescent="0.3">
      <c r="A181" s="37" t="s">
        <v>976</v>
      </c>
      <c r="B181" s="37" t="s">
        <v>826</v>
      </c>
      <c r="C181" s="37" t="s">
        <v>975</v>
      </c>
      <c r="D181" s="37" t="s">
        <v>974</v>
      </c>
      <c r="E181" s="37" t="s">
        <v>973</v>
      </c>
      <c r="F181" s="37" t="s">
        <v>822</v>
      </c>
      <c r="G181" s="37" t="s">
        <v>821</v>
      </c>
      <c r="H181" s="37" t="s">
        <v>972</v>
      </c>
      <c r="I181" s="37" t="s">
        <v>819</v>
      </c>
      <c r="K181" s="66">
        <f t="shared" si="2"/>
        <v>45000</v>
      </c>
    </row>
    <row r="182" spans="1:11" x14ac:dyDescent="0.3">
      <c r="A182" s="37" t="s">
        <v>970</v>
      </c>
      <c r="B182" s="37" t="s">
        <v>826</v>
      </c>
      <c r="C182" s="37" t="s">
        <v>55</v>
      </c>
      <c r="D182" s="37" t="s">
        <v>56</v>
      </c>
      <c r="E182" s="37" t="s">
        <v>915</v>
      </c>
      <c r="F182" s="37" t="s">
        <v>822</v>
      </c>
      <c r="G182" s="37" t="s">
        <v>821</v>
      </c>
      <c r="H182" s="37" t="s">
        <v>971</v>
      </c>
      <c r="I182" s="37" t="s">
        <v>819</v>
      </c>
      <c r="K182" s="66">
        <f t="shared" si="2"/>
        <v>39000</v>
      </c>
    </row>
    <row r="183" spans="1:11" x14ac:dyDescent="0.3">
      <c r="A183" s="37" t="s">
        <v>970</v>
      </c>
      <c r="B183" s="37" t="s">
        <v>826</v>
      </c>
      <c r="C183" s="37" t="s">
        <v>936</v>
      </c>
      <c r="D183" s="37" t="s">
        <v>935</v>
      </c>
      <c r="E183" s="37" t="s">
        <v>934</v>
      </c>
      <c r="F183" s="37" t="s">
        <v>822</v>
      </c>
      <c r="G183" s="37" t="s">
        <v>821</v>
      </c>
      <c r="H183" s="37" t="s">
        <v>969</v>
      </c>
      <c r="I183" s="37" t="s">
        <v>819</v>
      </c>
      <c r="K183" s="66">
        <f t="shared" si="2"/>
        <v>15000</v>
      </c>
    </row>
    <row r="184" spans="1:11" x14ac:dyDescent="0.3">
      <c r="A184" s="37" t="s">
        <v>968</v>
      </c>
      <c r="B184" s="37" t="s">
        <v>826</v>
      </c>
      <c r="C184" s="37" t="s">
        <v>608</v>
      </c>
      <c r="D184" s="37" t="s">
        <v>148</v>
      </c>
      <c r="E184" s="37" t="s">
        <v>967</v>
      </c>
      <c r="F184" s="37" t="s">
        <v>822</v>
      </c>
      <c r="G184" s="37" t="s">
        <v>821</v>
      </c>
      <c r="H184" s="37" t="s">
        <v>966</v>
      </c>
      <c r="I184" s="37" t="s">
        <v>819</v>
      </c>
      <c r="K184" s="66">
        <f t="shared" si="2"/>
        <v>14600</v>
      </c>
    </row>
    <row r="185" spans="1:11" x14ac:dyDescent="0.3">
      <c r="A185" s="37" t="s">
        <v>965</v>
      </c>
      <c r="B185" s="37" t="s">
        <v>826</v>
      </c>
      <c r="C185" s="37" t="s">
        <v>920</v>
      </c>
      <c r="D185" s="37" t="s">
        <v>919</v>
      </c>
      <c r="E185" s="37" t="s">
        <v>918</v>
      </c>
      <c r="F185" s="37" t="s">
        <v>822</v>
      </c>
      <c r="G185" s="37" t="s">
        <v>821</v>
      </c>
      <c r="H185" s="37" t="s">
        <v>964</v>
      </c>
      <c r="I185" s="37" t="s">
        <v>819</v>
      </c>
      <c r="K185" s="66">
        <f t="shared" si="2"/>
        <v>59060</v>
      </c>
    </row>
    <row r="186" spans="1:11" x14ac:dyDescent="0.3">
      <c r="A186" s="37" t="s">
        <v>963</v>
      </c>
      <c r="B186" s="37" t="s">
        <v>826</v>
      </c>
      <c r="C186" s="37" t="s">
        <v>114</v>
      </c>
      <c r="D186" s="37" t="s">
        <v>115</v>
      </c>
      <c r="E186" s="37" t="s">
        <v>866</v>
      </c>
      <c r="F186" s="37" t="s">
        <v>822</v>
      </c>
      <c r="G186" s="37" t="s">
        <v>821</v>
      </c>
      <c r="H186" s="37" t="s">
        <v>962</v>
      </c>
      <c r="I186" s="37" t="s">
        <v>819</v>
      </c>
      <c r="K186" s="66">
        <f t="shared" si="2"/>
        <v>36040</v>
      </c>
    </row>
    <row r="187" spans="1:11" x14ac:dyDescent="0.3">
      <c r="A187" s="37" t="s">
        <v>958</v>
      </c>
      <c r="B187" s="37" t="s">
        <v>826</v>
      </c>
      <c r="C187" s="37" t="s">
        <v>652</v>
      </c>
      <c r="D187" s="37" t="s">
        <v>961</v>
      </c>
      <c r="E187" s="37" t="s">
        <v>960</v>
      </c>
      <c r="F187" s="37" t="s">
        <v>822</v>
      </c>
      <c r="G187" s="37" t="s">
        <v>821</v>
      </c>
      <c r="H187" s="37" t="s">
        <v>959</v>
      </c>
      <c r="I187" s="37" t="s">
        <v>819</v>
      </c>
      <c r="K187" s="66">
        <f t="shared" si="2"/>
        <v>9100</v>
      </c>
    </row>
    <row r="188" spans="1:11" x14ac:dyDescent="0.3">
      <c r="A188" s="37" t="s">
        <v>958</v>
      </c>
      <c r="B188" s="37" t="s">
        <v>826</v>
      </c>
      <c r="C188" s="37" t="s">
        <v>886</v>
      </c>
      <c r="D188" s="37" t="s">
        <v>885</v>
      </c>
      <c r="E188" s="37" t="s">
        <v>884</v>
      </c>
      <c r="F188" s="37" t="s">
        <v>822</v>
      </c>
      <c r="G188" s="37" t="s">
        <v>821</v>
      </c>
      <c r="H188" s="37" t="s">
        <v>957</v>
      </c>
      <c r="I188" s="37" t="s">
        <v>819</v>
      </c>
      <c r="K188" s="66">
        <f t="shared" si="2"/>
        <v>128730</v>
      </c>
    </row>
    <row r="189" spans="1:11" x14ac:dyDescent="0.3">
      <c r="A189" s="37" t="s">
        <v>956</v>
      </c>
      <c r="B189" s="37" t="s">
        <v>826</v>
      </c>
      <c r="C189" s="37" t="s">
        <v>940</v>
      </c>
      <c r="D189" s="37" t="s">
        <v>939</v>
      </c>
      <c r="E189" s="37" t="s">
        <v>938</v>
      </c>
      <c r="F189" s="37" t="s">
        <v>822</v>
      </c>
      <c r="G189" s="37" t="s">
        <v>821</v>
      </c>
      <c r="H189" s="37" t="s">
        <v>909</v>
      </c>
      <c r="I189" s="37" t="s">
        <v>819</v>
      </c>
      <c r="K189" s="66">
        <f t="shared" si="2"/>
        <v>16000</v>
      </c>
    </row>
    <row r="190" spans="1:11" x14ac:dyDescent="0.3">
      <c r="A190" s="37" t="s">
        <v>955</v>
      </c>
      <c r="B190" s="37" t="s">
        <v>826</v>
      </c>
      <c r="C190" s="37" t="s">
        <v>871</v>
      </c>
      <c r="D190" s="37" t="s">
        <v>870</v>
      </c>
      <c r="E190" s="37" t="s">
        <v>869</v>
      </c>
      <c r="F190" s="37" t="s">
        <v>822</v>
      </c>
      <c r="G190" s="37" t="s">
        <v>821</v>
      </c>
      <c r="H190" s="37" t="s">
        <v>954</v>
      </c>
      <c r="I190" s="37" t="s">
        <v>819</v>
      </c>
      <c r="K190" s="66">
        <f t="shared" si="2"/>
        <v>38900</v>
      </c>
    </row>
    <row r="191" spans="1:11" x14ac:dyDescent="0.3">
      <c r="A191" s="37" t="s">
        <v>953</v>
      </c>
      <c r="B191" s="37" t="s">
        <v>826</v>
      </c>
      <c r="C191" s="37" t="s">
        <v>651</v>
      </c>
      <c r="D191" s="37" t="s">
        <v>952</v>
      </c>
      <c r="E191" s="37" t="s">
        <v>951</v>
      </c>
      <c r="F191" s="37" t="s">
        <v>822</v>
      </c>
      <c r="G191" s="37" t="s">
        <v>821</v>
      </c>
      <c r="H191" s="37" t="s">
        <v>950</v>
      </c>
      <c r="I191" s="37" t="s">
        <v>819</v>
      </c>
      <c r="K191" s="66">
        <f t="shared" si="2"/>
        <v>20000</v>
      </c>
    </row>
    <row r="192" spans="1:11" x14ac:dyDescent="0.3">
      <c r="A192" s="37" t="s">
        <v>949</v>
      </c>
      <c r="B192" s="37" t="s">
        <v>826</v>
      </c>
      <c r="C192" s="37" t="s">
        <v>831</v>
      </c>
      <c r="D192" s="37" t="s">
        <v>830</v>
      </c>
      <c r="E192" s="37" t="s">
        <v>829</v>
      </c>
      <c r="F192" s="37" t="s">
        <v>822</v>
      </c>
      <c r="G192" s="37" t="s">
        <v>821</v>
      </c>
      <c r="H192" s="37" t="s">
        <v>948</v>
      </c>
      <c r="I192" s="37" t="s">
        <v>819</v>
      </c>
      <c r="K192" s="66">
        <f t="shared" si="2"/>
        <v>4800</v>
      </c>
    </row>
    <row r="193" spans="1:11" x14ac:dyDescent="0.3">
      <c r="A193" s="37" t="s">
        <v>947</v>
      </c>
      <c r="B193" s="37" t="s">
        <v>826</v>
      </c>
      <c r="C193" s="37" t="s">
        <v>946</v>
      </c>
      <c r="D193" s="37" t="s">
        <v>945</v>
      </c>
      <c r="E193" s="37" t="s">
        <v>944</v>
      </c>
      <c r="F193" s="37" t="s">
        <v>822</v>
      </c>
      <c r="G193" s="37" t="s">
        <v>821</v>
      </c>
      <c r="H193" s="37" t="s">
        <v>933</v>
      </c>
      <c r="I193" s="37" t="s">
        <v>819</v>
      </c>
      <c r="K193" s="66">
        <f t="shared" si="2"/>
        <v>13000</v>
      </c>
    </row>
    <row r="194" spans="1:11" x14ac:dyDescent="0.3">
      <c r="A194" s="37" t="s">
        <v>943</v>
      </c>
      <c r="B194" s="37" t="s">
        <v>826</v>
      </c>
      <c r="C194" s="37" t="s">
        <v>857</v>
      </c>
      <c r="D194" s="37" t="s">
        <v>856</v>
      </c>
      <c r="E194" s="37" t="s">
        <v>855</v>
      </c>
      <c r="F194" s="37" t="s">
        <v>822</v>
      </c>
      <c r="G194" s="37" t="s">
        <v>821</v>
      </c>
      <c r="H194" s="37" t="s">
        <v>942</v>
      </c>
      <c r="I194" s="37" t="s">
        <v>819</v>
      </c>
      <c r="K194" s="66">
        <f t="shared" si="2"/>
        <v>78190</v>
      </c>
    </row>
    <row r="195" spans="1:11" x14ac:dyDescent="0.3">
      <c r="A195" s="37" t="s">
        <v>932</v>
      </c>
      <c r="B195" s="37" t="s">
        <v>826</v>
      </c>
      <c r="C195" s="37" t="s">
        <v>55</v>
      </c>
      <c r="D195" s="37" t="s">
        <v>56</v>
      </c>
      <c r="E195" s="37" t="s">
        <v>915</v>
      </c>
      <c r="F195" s="37" t="s">
        <v>822</v>
      </c>
      <c r="G195" s="37" t="s">
        <v>821</v>
      </c>
      <c r="H195" s="37" t="s">
        <v>941</v>
      </c>
      <c r="I195" s="37" t="s">
        <v>819</v>
      </c>
      <c r="K195" s="66">
        <f t="shared" ref="K195:K228" si="3">H195*1</f>
        <v>17660</v>
      </c>
    </row>
    <row r="196" spans="1:11" x14ac:dyDescent="0.3">
      <c r="A196" s="37" t="s">
        <v>932</v>
      </c>
      <c r="B196" s="37" t="s">
        <v>826</v>
      </c>
      <c r="C196" s="37" t="s">
        <v>55</v>
      </c>
      <c r="D196" s="37" t="s">
        <v>56</v>
      </c>
      <c r="E196" s="37" t="s">
        <v>915</v>
      </c>
      <c r="F196" s="37" t="s">
        <v>822</v>
      </c>
      <c r="G196" s="37" t="s">
        <v>821</v>
      </c>
      <c r="H196" s="37" t="s">
        <v>913</v>
      </c>
      <c r="I196" s="37" t="s">
        <v>819</v>
      </c>
      <c r="K196" s="66">
        <f t="shared" si="3"/>
        <v>8000</v>
      </c>
    </row>
    <row r="197" spans="1:11" x14ac:dyDescent="0.3">
      <c r="A197" s="37" t="s">
        <v>932</v>
      </c>
      <c r="B197" s="37" t="s">
        <v>826</v>
      </c>
      <c r="C197" s="37" t="s">
        <v>940</v>
      </c>
      <c r="D197" s="37" t="s">
        <v>939</v>
      </c>
      <c r="E197" s="37" t="s">
        <v>938</v>
      </c>
      <c r="F197" s="37" t="s">
        <v>822</v>
      </c>
      <c r="G197" s="37" t="s">
        <v>821</v>
      </c>
      <c r="H197" s="37" t="s">
        <v>937</v>
      </c>
      <c r="I197" s="37" t="s">
        <v>819</v>
      </c>
      <c r="K197" s="66">
        <f t="shared" si="3"/>
        <v>7000</v>
      </c>
    </row>
    <row r="198" spans="1:11" x14ac:dyDescent="0.3">
      <c r="A198" s="37" t="s">
        <v>932</v>
      </c>
      <c r="B198" s="37" t="s">
        <v>826</v>
      </c>
      <c r="C198" s="37" t="s">
        <v>936</v>
      </c>
      <c r="D198" s="37" t="s">
        <v>935</v>
      </c>
      <c r="E198" s="37" t="s">
        <v>934</v>
      </c>
      <c r="F198" s="37" t="s">
        <v>822</v>
      </c>
      <c r="G198" s="37" t="s">
        <v>821</v>
      </c>
      <c r="H198" s="37" t="s">
        <v>933</v>
      </c>
      <c r="I198" s="37" t="s">
        <v>819</v>
      </c>
      <c r="K198" s="66">
        <f t="shared" si="3"/>
        <v>13000</v>
      </c>
    </row>
    <row r="199" spans="1:11" x14ac:dyDescent="0.3">
      <c r="A199" s="37" t="s">
        <v>932</v>
      </c>
      <c r="B199" s="37" t="s">
        <v>826</v>
      </c>
      <c r="C199" s="37" t="s">
        <v>710</v>
      </c>
      <c r="D199" s="37" t="s">
        <v>931</v>
      </c>
      <c r="E199" s="37" t="s">
        <v>930</v>
      </c>
      <c r="F199" s="37" t="s">
        <v>822</v>
      </c>
      <c r="G199" s="37" t="s">
        <v>821</v>
      </c>
      <c r="H199" s="37" t="s">
        <v>929</v>
      </c>
      <c r="I199" s="37" t="s">
        <v>819</v>
      </c>
      <c r="K199" s="66">
        <f t="shared" si="3"/>
        <v>3860</v>
      </c>
    </row>
    <row r="200" spans="1:11" x14ac:dyDescent="0.3">
      <c r="A200" s="37" t="s">
        <v>928</v>
      </c>
      <c r="B200" s="37" t="s">
        <v>826</v>
      </c>
      <c r="C200" s="37" t="s">
        <v>927</v>
      </c>
      <c r="D200" s="37" t="s">
        <v>870</v>
      </c>
      <c r="E200" s="37" t="s">
        <v>926</v>
      </c>
      <c r="F200" s="37" t="s">
        <v>822</v>
      </c>
      <c r="G200" s="37" t="s">
        <v>925</v>
      </c>
      <c r="H200" s="37" t="s">
        <v>924</v>
      </c>
      <c r="I200" s="37" t="s">
        <v>819</v>
      </c>
      <c r="K200" s="66">
        <f t="shared" si="3"/>
        <v>113000</v>
      </c>
    </row>
    <row r="201" spans="1:11" x14ac:dyDescent="0.3">
      <c r="A201" s="37" t="s">
        <v>923</v>
      </c>
      <c r="B201" s="37" t="s">
        <v>826</v>
      </c>
      <c r="C201" s="37" t="s">
        <v>114</v>
      </c>
      <c r="D201" s="37" t="s">
        <v>115</v>
      </c>
      <c r="E201" s="37" t="s">
        <v>866</v>
      </c>
      <c r="F201" s="37" t="s">
        <v>822</v>
      </c>
      <c r="G201" s="37" t="s">
        <v>821</v>
      </c>
      <c r="H201" s="37" t="s">
        <v>922</v>
      </c>
      <c r="I201" s="37" t="s">
        <v>819</v>
      </c>
      <c r="K201" s="66">
        <f t="shared" si="3"/>
        <v>18040</v>
      </c>
    </row>
    <row r="202" spans="1:11" x14ac:dyDescent="0.3">
      <c r="A202" s="37" t="s">
        <v>921</v>
      </c>
      <c r="B202" s="37" t="s">
        <v>826</v>
      </c>
      <c r="C202" s="37" t="s">
        <v>920</v>
      </c>
      <c r="D202" s="37" t="s">
        <v>919</v>
      </c>
      <c r="E202" s="37" t="s">
        <v>918</v>
      </c>
      <c r="F202" s="37" t="s">
        <v>822</v>
      </c>
      <c r="G202" s="37" t="s">
        <v>821</v>
      </c>
      <c r="H202" s="37" t="s">
        <v>917</v>
      </c>
      <c r="I202" s="37" t="s">
        <v>819</v>
      </c>
      <c r="K202" s="66">
        <f t="shared" si="3"/>
        <v>27500</v>
      </c>
    </row>
    <row r="203" spans="1:11" x14ac:dyDescent="0.3">
      <c r="A203" s="37" t="s">
        <v>916</v>
      </c>
      <c r="B203" s="37" t="s">
        <v>826</v>
      </c>
      <c r="C203" s="37" t="s">
        <v>55</v>
      </c>
      <c r="D203" s="37" t="s">
        <v>56</v>
      </c>
      <c r="E203" s="37" t="s">
        <v>915</v>
      </c>
      <c r="F203" s="37" t="s">
        <v>822</v>
      </c>
      <c r="G203" s="37" t="s">
        <v>821</v>
      </c>
      <c r="H203" s="37" t="s">
        <v>914</v>
      </c>
      <c r="I203" s="37" t="s">
        <v>819</v>
      </c>
      <c r="K203" s="66">
        <f t="shared" si="3"/>
        <v>26310</v>
      </c>
    </row>
    <row r="204" spans="1:11" x14ac:dyDescent="0.3">
      <c r="A204" s="37" t="s">
        <v>908</v>
      </c>
      <c r="B204" s="37" t="s">
        <v>826</v>
      </c>
      <c r="C204" s="37" t="s">
        <v>912</v>
      </c>
      <c r="D204" s="37" t="s">
        <v>911</v>
      </c>
      <c r="E204" s="37" t="s">
        <v>910</v>
      </c>
      <c r="F204" s="37" t="s">
        <v>822</v>
      </c>
      <c r="G204" s="37" t="s">
        <v>821</v>
      </c>
      <c r="H204" s="37" t="s">
        <v>913</v>
      </c>
      <c r="I204" s="37" t="s">
        <v>819</v>
      </c>
      <c r="K204" s="66">
        <f t="shared" si="3"/>
        <v>8000</v>
      </c>
    </row>
    <row r="205" spans="1:11" x14ac:dyDescent="0.3">
      <c r="A205" s="37" t="s">
        <v>908</v>
      </c>
      <c r="B205" s="37" t="s">
        <v>826</v>
      </c>
      <c r="C205" s="37" t="s">
        <v>912</v>
      </c>
      <c r="D205" s="37" t="s">
        <v>911</v>
      </c>
      <c r="E205" s="37" t="s">
        <v>910</v>
      </c>
      <c r="F205" s="37" t="s">
        <v>822</v>
      </c>
      <c r="G205" s="37" t="s">
        <v>821</v>
      </c>
      <c r="H205" s="37" t="s">
        <v>909</v>
      </c>
      <c r="I205" s="37" t="s">
        <v>819</v>
      </c>
      <c r="K205" s="66">
        <f t="shared" si="3"/>
        <v>16000</v>
      </c>
    </row>
    <row r="206" spans="1:11" x14ac:dyDescent="0.3">
      <c r="A206" s="37" t="s">
        <v>908</v>
      </c>
      <c r="B206" s="37" t="s">
        <v>826</v>
      </c>
      <c r="C206" s="37" t="s">
        <v>907</v>
      </c>
      <c r="D206" s="37" t="s">
        <v>906</v>
      </c>
      <c r="E206" s="37" t="s">
        <v>905</v>
      </c>
      <c r="F206" s="37" t="s">
        <v>822</v>
      </c>
      <c r="G206" s="37" t="s">
        <v>821</v>
      </c>
      <c r="H206" s="37" t="s">
        <v>904</v>
      </c>
      <c r="I206" s="37" t="s">
        <v>819</v>
      </c>
      <c r="K206" s="66">
        <f t="shared" si="3"/>
        <v>6500</v>
      </c>
    </row>
    <row r="207" spans="1:11" x14ac:dyDescent="0.3">
      <c r="A207" s="37" t="s">
        <v>900</v>
      </c>
      <c r="B207" s="37" t="s">
        <v>826</v>
      </c>
      <c r="C207" s="37" t="s">
        <v>114</v>
      </c>
      <c r="D207" s="37" t="s">
        <v>115</v>
      </c>
      <c r="E207" s="37" t="s">
        <v>866</v>
      </c>
      <c r="F207" s="37" t="s">
        <v>822</v>
      </c>
      <c r="G207" s="37" t="s">
        <v>821</v>
      </c>
      <c r="H207" s="37" t="s">
        <v>903</v>
      </c>
      <c r="I207" s="37" t="s">
        <v>819</v>
      </c>
      <c r="K207" s="66">
        <f t="shared" si="3"/>
        <v>124240</v>
      </c>
    </row>
    <row r="208" spans="1:11" x14ac:dyDescent="0.3">
      <c r="A208" s="37" t="s">
        <v>900</v>
      </c>
      <c r="B208" s="37" t="s">
        <v>826</v>
      </c>
      <c r="C208" s="37" t="s">
        <v>114</v>
      </c>
      <c r="D208" s="37" t="s">
        <v>115</v>
      </c>
      <c r="E208" s="37" t="s">
        <v>866</v>
      </c>
      <c r="F208" s="37" t="s">
        <v>822</v>
      </c>
      <c r="G208" s="37" t="s">
        <v>821</v>
      </c>
      <c r="H208" s="37" t="s">
        <v>902</v>
      </c>
      <c r="I208" s="37" t="s">
        <v>819</v>
      </c>
      <c r="K208" s="66">
        <f t="shared" si="3"/>
        <v>67000</v>
      </c>
    </row>
    <row r="209" spans="1:11" x14ac:dyDescent="0.3">
      <c r="A209" s="37" t="s">
        <v>900</v>
      </c>
      <c r="B209" s="37" t="s">
        <v>826</v>
      </c>
      <c r="C209" s="37" t="s">
        <v>825</v>
      </c>
      <c r="D209" s="37" t="s">
        <v>824</v>
      </c>
      <c r="E209" s="37" t="s">
        <v>823</v>
      </c>
      <c r="F209" s="37" t="s">
        <v>822</v>
      </c>
      <c r="G209" s="37" t="s">
        <v>821</v>
      </c>
      <c r="H209" s="37" t="s">
        <v>901</v>
      </c>
      <c r="I209" s="37" t="s">
        <v>819</v>
      </c>
      <c r="K209" s="66">
        <f t="shared" si="3"/>
        <v>99510</v>
      </c>
    </row>
    <row r="210" spans="1:11" x14ac:dyDescent="0.3">
      <c r="A210" s="37" t="s">
        <v>900</v>
      </c>
      <c r="B210" s="37" t="s">
        <v>826</v>
      </c>
      <c r="C210" s="37" t="s">
        <v>899</v>
      </c>
      <c r="D210" s="37" t="s">
        <v>898</v>
      </c>
      <c r="E210" s="37" t="s">
        <v>897</v>
      </c>
      <c r="F210" s="37" t="s">
        <v>822</v>
      </c>
      <c r="G210" s="37" t="s">
        <v>821</v>
      </c>
      <c r="H210" s="37" t="s">
        <v>896</v>
      </c>
      <c r="I210" s="37" t="s">
        <v>819</v>
      </c>
      <c r="K210" s="66">
        <f t="shared" si="3"/>
        <v>68730</v>
      </c>
    </row>
    <row r="211" spans="1:11" x14ac:dyDescent="0.3">
      <c r="A211" s="37" t="s">
        <v>895</v>
      </c>
      <c r="B211" s="37" t="s">
        <v>826</v>
      </c>
      <c r="C211" s="37" t="s">
        <v>894</v>
      </c>
      <c r="D211" s="37" t="s">
        <v>893</v>
      </c>
      <c r="E211" s="37" t="s">
        <v>892</v>
      </c>
      <c r="F211" s="37" t="s">
        <v>822</v>
      </c>
      <c r="G211" s="37" t="s">
        <v>821</v>
      </c>
      <c r="H211" s="37" t="s">
        <v>891</v>
      </c>
      <c r="I211" s="37" t="s">
        <v>819</v>
      </c>
      <c r="K211" s="66">
        <f t="shared" si="3"/>
        <v>10000</v>
      </c>
    </row>
    <row r="212" spans="1:11" x14ac:dyDescent="0.3">
      <c r="A212" s="37" t="s">
        <v>890</v>
      </c>
      <c r="B212" s="37" t="s">
        <v>826</v>
      </c>
      <c r="C212" s="37" t="s">
        <v>80</v>
      </c>
      <c r="D212" s="37" t="s">
        <v>81</v>
      </c>
      <c r="E212" s="37" t="s">
        <v>889</v>
      </c>
      <c r="F212" s="37" t="s">
        <v>822</v>
      </c>
      <c r="G212" s="37" t="s">
        <v>821</v>
      </c>
      <c r="H212" s="37" t="s">
        <v>888</v>
      </c>
      <c r="I212" s="37" t="s">
        <v>819</v>
      </c>
      <c r="K212" s="66">
        <f t="shared" si="3"/>
        <v>16200</v>
      </c>
    </row>
    <row r="213" spans="1:11" x14ac:dyDescent="0.3">
      <c r="A213" s="37" t="s">
        <v>887</v>
      </c>
      <c r="B213" s="37" t="s">
        <v>826</v>
      </c>
      <c r="C213" s="37" t="s">
        <v>886</v>
      </c>
      <c r="D213" s="37" t="s">
        <v>885</v>
      </c>
      <c r="E213" s="37" t="s">
        <v>884</v>
      </c>
      <c r="F213" s="37" t="s">
        <v>822</v>
      </c>
      <c r="G213" s="37" t="s">
        <v>821</v>
      </c>
      <c r="H213" s="37" t="s">
        <v>883</v>
      </c>
      <c r="I213" s="37" t="s">
        <v>819</v>
      </c>
      <c r="K213" s="66">
        <f t="shared" si="3"/>
        <v>134810</v>
      </c>
    </row>
    <row r="214" spans="1:11" x14ac:dyDescent="0.3">
      <c r="A214" s="37" t="s">
        <v>882</v>
      </c>
      <c r="B214" s="37" t="s">
        <v>826</v>
      </c>
      <c r="C214" s="37" t="s">
        <v>881</v>
      </c>
      <c r="D214" s="37" t="s">
        <v>880</v>
      </c>
      <c r="E214" s="37" t="s">
        <v>879</v>
      </c>
      <c r="F214" s="37" t="s">
        <v>822</v>
      </c>
      <c r="G214" s="37" t="s">
        <v>821</v>
      </c>
      <c r="H214" s="37" t="s">
        <v>878</v>
      </c>
      <c r="I214" s="37" t="s">
        <v>819</v>
      </c>
      <c r="K214" s="66">
        <f t="shared" si="3"/>
        <v>91000</v>
      </c>
    </row>
    <row r="215" spans="1:11" x14ac:dyDescent="0.3">
      <c r="A215" s="37" t="s">
        <v>877</v>
      </c>
      <c r="B215" s="37" t="s">
        <v>826</v>
      </c>
      <c r="C215" s="37" t="s">
        <v>876</v>
      </c>
      <c r="D215" s="37" t="s">
        <v>875</v>
      </c>
      <c r="E215" s="37" t="s">
        <v>874</v>
      </c>
      <c r="F215" s="37" t="s">
        <v>822</v>
      </c>
      <c r="G215" s="37" t="s">
        <v>821</v>
      </c>
      <c r="H215" s="37" t="s">
        <v>873</v>
      </c>
      <c r="I215" s="37" t="s">
        <v>819</v>
      </c>
      <c r="K215" s="66">
        <f t="shared" si="3"/>
        <v>33800</v>
      </c>
    </row>
    <row r="216" spans="1:11" x14ac:dyDescent="0.3">
      <c r="A216" s="37" t="s">
        <v>872</v>
      </c>
      <c r="B216" s="37" t="s">
        <v>826</v>
      </c>
      <c r="C216" s="37" t="s">
        <v>871</v>
      </c>
      <c r="D216" s="37" t="s">
        <v>870</v>
      </c>
      <c r="E216" s="37" t="s">
        <v>869</v>
      </c>
      <c r="F216" s="37" t="s">
        <v>822</v>
      </c>
      <c r="G216" s="37" t="s">
        <v>821</v>
      </c>
      <c r="H216" s="37" t="s">
        <v>868</v>
      </c>
      <c r="I216" s="37" t="s">
        <v>819</v>
      </c>
      <c r="K216" s="66">
        <f t="shared" si="3"/>
        <v>30900</v>
      </c>
    </row>
    <row r="217" spans="1:11" x14ac:dyDescent="0.3">
      <c r="A217" s="37" t="s">
        <v>867</v>
      </c>
      <c r="B217" s="37" t="s">
        <v>826</v>
      </c>
      <c r="C217" s="37" t="s">
        <v>114</v>
      </c>
      <c r="D217" s="37" t="s">
        <v>115</v>
      </c>
      <c r="E217" s="37" t="s">
        <v>866</v>
      </c>
      <c r="F217" s="37" t="s">
        <v>822</v>
      </c>
      <c r="G217" s="37" t="s">
        <v>865</v>
      </c>
      <c r="H217" s="37" t="s">
        <v>864</v>
      </c>
      <c r="I217" s="37" t="s">
        <v>819</v>
      </c>
      <c r="K217" s="66">
        <f t="shared" si="3"/>
        <v>226260</v>
      </c>
    </row>
    <row r="218" spans="1:11" x14ac:dyDescent="0.3">
      <c r="A218" s="37" t="s">
        <v>863</v>
      </c>
      <c r="B218" s="37" t="s">
        <v>826</v>
      </c>
      <c r="C218" s="37" t="s">
        <v>862</v>
      </c>
      <c r="D218" s="37" t="s">
        <v>861</v>
      </c>
      <c r="E218" s="37" t="s">
        <v>860</v>
      </c>
      <c r="F218" s="37" t="s">
        <v>822</v>
      </c>
      <c r="G218" s="37" t="s">
        <v>821</v>
      </c>
      <c r="H218" s="37" t="s">
        <v>859</v>
      </c>
      <c r="I218" s="37" t="s">
        <v>819</v>
      </c>
      <c r="K218" s="66">
        <f t="shared" si="3"/>
        <v>90740</v>
      </c>
    </row>
    <row r="219" spans="1:11" x14ac:dyDescent="0.3">
      <c r="A219" s="37" t="s">
        <v>858</v>
      </c>
      <c r="B219" s="37" t="s">
        <v>826</v>
      </c>
      <c r="C219" s="37" t="s">
        <v>857</v>
      </c>
      <c r="D219" s="37" t="s">
        <v>856</v>
      </c>
      <c r="E219" s="37" t="s">
        <v>855</v>
      </c>
      <c r="F219" s="37" t="s">
        <v>822</v>
      </c>
      <c r="G219" s="37" t="s">
        <v>821</v>
      </c>
      <c r="H219" s="37" t="s">
        <v>854</v>
      </c>
      <c r="I219" s="37" t="s">
        <v>819</v>
      </c>
      <c r="K219" s="66">
        <f t="shared" si="3"/>
        <v>80810</v>
      </c>
    </row>
    <row r="220" spans="1:11" x14ac:dyDescent="0.3">
      <c r="A220" s="37" t="s">
        <v>848</v>
      </c>
      <c r="B220" s="37" t="s">
        <v>826</v>
      </c>
      <c r="C220" s="37" t="s">
        <v>852</v>
      </c>
      <c r="D220" s="37" t="s">
        <v>851</v>
      </c>
      <c r="E220" s="37" t="s">
        <v>850</v>
      </c>
      <c r="F220" s="37" t="s">
        <v>822</v>
      </c>
      <c r="G220" s="37" t="s">
        <v>821</v>
      </c>
      <c r="H220" s="37" t="s">
        <v>853</v>
      </c>
      <c r="I220" s="37" t="s">
        <v>819</v>
      </c>
      <c r="K220" s="66">
        <f t="shared" si="3"/>
        <v>17000</v>
      </c>
    </row>
    <row r="221" spans="1:11" x14ac:dyDescent="0.3">
      <c r="A221" s="37" t="s">
        <v>848</v>
      </c>
      <c r="B221" s="37" t="s">
        <v>826</v>
      </c>
      <c r="C221" s="37" t="s">
        <v>852</v>
      </c>
      <c r="D221" s="37" t="s">
        <v>851</v>
      </c>
      <c r="E221" s="37" t="s">
        <v>850</v>
      </c>
      <c r="F221" s="37" t="s">
        <v>822</v>
      </c>
      <c r="G221" s="37" t="s">
        <v>821</v>
      </c>
      <c r="H221" s="37" t="s">
        <v>849</v>
      </c>
      <c r="I221" s="37" t="s">
        <v>819</v>
      </c>
      <c r="K221" s="66">
        <f t="shared" si="3"/>
        <v>7500</v>
      </c>
    </row>
    <row r="222" spans="1:11" x14ac:dyDescent="0.3">
      <c r="A222" s="37" t="s">
        <v>848</v>
      </c>
      <c r="B222" s="37" t="s">
        <v>826</v>
      </c>
      <c r="C222" s="37" t="s">
        <v>660</v>
      </c>
      <c r="D222" s="37" t="s">
        <v>837</v>
      </c>
      <c r="E222" s="37" t="s">
        <v>836</v>
      </c>
      <c r="F222" s="37" t="s">
        <v>822</v>
      </c>
      <c r="G222" s="37" t="s">
        <v>821</v>
      </c>
      <c r="H222" s="37" t="s">
        <v>847</v>
      </c>
      <c r="I222" s="37" t="s">
        <v>819</v>
      </c>
      <c r="K222" s="66">
        <f t="shared" si="3"/>
        <v>4600</v>
      </c>
    </row>
    <row r="223" spans="1:11" x14ac:dyDescent="0.3">
      <c r="A223" s="37" t="s">
        <v>846</v>
      </c>
      <c r="B223" s="37" t="s">
        <v>826</v>
      </c>
      <c r="C223" s="37" t="s">
        <v>845</v>
      </c>
      <c r="D223" s="37" t="s">
        <v>220</v>
      </c>
      <c r="E223" s="37" t="s">
        <v>844</v>
      </c>
      <c r="F223" s="37" t="s">
        <v>822</v>
      </c>
      <c r="G223" s="37" t="s">
        <v>821</v>
      </c>
      <c r="H223" s="37" t="s">
        <v>843</v>
      </c>
      <c r="I223" s="37" t="s">
        <v>819</v>
      </c>
      <c r="K223" s="66">
        <f t="shared" si="3"/>
        <v>25900</v>
      </c>
    </row>
    <row r="224" spans="1:11" x14ac:dyDescent="0.3">
      <c r="A224" s="37" t="s">
        <v>838</v>
      </c>
      <c r="B224" s="37" t="s">
        <v>826</v>
      </c>
      <c r="C224" s="37" t="s">
        <v>842</v>
      </c>
      <c r="D224" s="37" t="s">
        <v>841</v>
      </c>
      <c r="E224" s="37" t="s">
        <v>840</v>
      </c>
      <c r="F224" s="37" t="s">
        <v>822</v>
      </c>
      <c r="G224" s="37" t="s">
        <v>821</v>
      </c>
      <c r="H224" s="37" t="s">
        <v>839</v>
      </c>
      <c r="I224" s="37" t="s">
        <v>819</v>
      </c>
      <c r="K224" s="66">
        <f t="shared" si="3"/>
        <v>5800</v>
      </c>
    </row>
    <row r="225" spans="1:13" x14ac:dyDescent="0.3">
      <c r="A225" s="37" t="s">
        <v>838</v>
      </c>
      <c r="B225" s="37" t="s">
        <v>826</v>
      </c>
      <c r="C225" s="37" t="s">
        <v>660</v>
      </c>
      <c r="D225" s="37" t="s">
        <v>837</v>
      </c>
      <c r="E225" s="37" t="s">
        <v>836</v>
      </c>
      <c r="F225" s="37" t="s">
        <v>822</v>
      </c>
      <c r="G225" s="37" t="s">
        <v>821</v>
      </c>
      <c r="H225" s="37" t="s">
        <v>835</v>
      </c>
      <c r="I225" s="37" t="s">
        <v>819</v>
      </c>
      <c r="K225" s="66">
        <f t="shared" si="3"/>
        <v>46900</v>
      </c>
    </row>
    <row r="226" spans="1:13" x14ac:dyDescent="0.3">
      <c r="A226" s="37" t="s">
        <v>834</v>
      </c>
      <c r="B226" s="37" t="s">
        <v>826</v>
      </c>
      <c r="C226" s="37" t="s">
        <v>831</v>
      </c>
      <c r="D226" s="37" t="s">
        <v>830</v>
      </c>
      <c r="E226" s="37" t="s">
        <v>829</v>
      </c>
      <c r="F226" s="37" t="s">
        <v>822</v>
      </c>
      <c r="G226" s="37" t="s">
        <v>821</v>
      </c>
      <c r="H226" s="37" t="s">
        <v>833</v>
      </c>
      <c r="I226" s="37" t="s">
        <v>819</v>
      </c>
      <c r="K226" s="66">
        <f t="shared" si="3"/>
        <v>16600</v>
      </c>
    </row>
    <row r="227" spans="1:13" x14ac:dyDescent="0.3">
      <c r="A227" s="37" t="s">
        <v>832</v>
      </c>
      <c r="B227" s="37" t="s">
        <v>826</v>
      </c>
      <c r="C227" s="37" t="s">
        <v>831</v>
      </c>
      <c r="D227" s="37" t="s">
        <v>830</v>
      </c>
      <c r="E227" s="37" t="s">
        <v>829</v>
      </c>
      <c r="F227" s="37" t="s">
        <v>822</v>
      </c>
      <c r="G227" s="37" t="s">
        <v>821</v>
      </c>
      <c r="H227" s="37" t="s">
        <v>828</v>
      </c>
      <c r="I227" s="37" t="s">
        <v>819</v>
      </c>
      <c r="K227" s="66">
        <f t="shared" si="3"/>
        <v>14650</v>
      </c>
    </row>
    <row r="228" spans="1:13" x14ac:dyDescent="0.3">
      <c r="A228" s="37" t="s">
        <v>827</v>
      </c>
      <c r="B228" s="37" t="s">
        <v>826</v>
      </c>
      <c r="C228" s="37" t="s">
        <v>825</v>
      </c>
      <c r="D228" s="37" t="s">
        <v>824</v>
      </c>
      <c r="E228" s="37" t="s">
        <v>823</v>
      </c>
      <c r="F228" s="37" t="s">
        <v>822</v>
      </c>
      <c r="G228" s="37" t="s">
        <v>821</v>
      </c>
      <c r="H228" s="37" t="s">
        <v>820</v>
      </c>
      <c r="I228" s="37" t="s">
        <v>819</v>
      </c>
      <c r="K228" s="66">
        <f t="shared" si="3"/>
        <v>48580</v>
      </c>
    </row>
    <row r="230" spans="1:13" x14ac:dyDescent="0.3">
      <c r="H230" s="36">
        <f>SUM(H2:H228)</f>
        <v>0</v>
      </c>
      <c r="K230" s="66">
        <f>SUM(K2:K229)</f>
        <v>26856327</v>
      </c>
      <c r="L230" s="66">
        <f>SUM(L2:L228)</f>
        <v>-1147940</v>
      </c>
      <c r="M230" s="67">
        <f>K230+L230</f>
        <v>25708387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1</vt:i4>
      </vt:variant>
    </vt:vector>
  </HeadingPairs>
  <TitlesOfParts>
    <vt:vector size="7" baseType="lpstr">
      <vt:lpstr>DB_Schema</vt:lpstr>
      <vt:lpstr>카드헤더</vt:lpstr>
      <vt:lpstr>국민카드</vt:lpstr>
      <vt:lpstr>신한카드</vt:lpstr>
      <vt:lpstr>현대카드</vt:lpstr>
      <vt:lpstr>하나카드</vt:lpstr>
      <vt:lpstr>국민카드!Print_Area</vt:lpstr>
    </vt:vector>
  </TitlesOfParts>
  <Company>KB국민카드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K116301</dc:creator>
  <cp:lastModifiedBy>김찬식 초록마을</cp:lastModifiedBy>
  <cp:lastPrinted>2018-01-23T01:33:46Z</cp:lastPrinted>
  <dcterms:created xsi:type="dcterms:W3CDTF">2017-08-02T01:20:43Z</dcterms:created>
  <dcterms:modified xsi:type="dcterms:W3CDTF">2026-01-08T08:23:26Z</dcterms:modified>
</cp:coreProperties>
</file>